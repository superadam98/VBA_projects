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admin_achilal\Desktop\Gantt\"/>
    </mc:Choice>
  </mc:AlternateContent>
  <xr:revisionPtr revIDLastSave="0" documentId="13_ncr:1_{FAB582DE-955A-4E2C-86A9-0E5A5E54C210}" xr6:coauthVersionLast="47" xr6:coauthVersionMax="47" xr10:uidLastSave="{00000000-0000-0000-0000-000000000000}"/>
  <bookViews>
    <workbookView xWindow="28680" yWindow="-120" windowWidth="29040" windowHeight="15840" xr2:uid="{00000000-000D-0000-FFFF-FFFF00000000}"/>
  </bookViews>
  <sheets>
    <sheet name="Gantt Chart Main" sheetId="11" r:id="rId1"/>
  </sheets>
  <functionGroups builtInGroupCount="19"/>
  <definedNames>
    <definedName name="BaseRange">'Gantt Chart Main'!$C$1</definedName>
    <definedName name="Display_Week">'Gantt Chart Main'!$R$2</definedName>
    <definedName name="_xlnm.Print_Titles" localSheetId="0">'Gantt Chart Main'!$5:$8</definedName>
    <definedName name="Project_Start">'Gantt Chart Main'!$R$1</definedName>
    <definedName name="task_end" localSheetId="0">'Gantt Chart Main'!$G1</definedName>
    <definedName name="task_progress" localSheetId="0">'Gantt Chart Main'!$E1</definedName>
    <definedName name="task_start" localSheetId="0">'Gantt Chart Main'!$F1</definedName>
    <definedName name="today" localSheetId="0">TODAY()</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 i="11" l="1" a="1"/>
  <c r="R1" i="11" s="1"/>
  <c r="I9" i="11" l="1"/>
  <c r="J7" i="11" l="1"/>
  <c r="I10" i="11"/>
  <c r="J8" i="11" l="1"/>
  <c r="I11" i="11" l="1"/>
  <c r="K7" i="11"/>
  <c r="L7" i="11" s="1"/>
  <c r="M7" i="11" s="1"/>
  <c r="N7" i="11" s="1"/>
  <c r="O7" i="11" s="1"/>
  <c r="P7" i="11" s="1"/>
  <c r="Q7" i="11" s="1"/>
  <c r="J5" i="11"/>
  <c r="I13" i="11" l="1"/>
  <c r="I12" i="11"/>
  <c r="Q5" i="11"/>
  <c r="R7" i="11"/>
  <c r="S7" i="11" s="1"/>
  <c r="T7" i="11" s="1"/>
  <c r="U7" i="11" s="1"/>
  <c r="V7" i="11" s="1"/>
  <c r="W7" i="11" s="1"/>
  <c r="X7" i="11" s="1"/>
  <c r="X5" i="11" s="1"/>
  <c r="K8" i="11"/>
  <c r="Y7" i="11" l="1"/>
  <c r="Z7" i="11" s="1"/>
  <c r="AA7" i="11" s="1"/>
  <c r="AB7" i="11" s="1"/>
  <c r="AC7" i="11" s="1"/>
  <c r="AD7" i="11" s="1"/>
  <c r="AE7" i="11" s="1"/>
  <c r="L8" i="11"/>
  <c r="I15" i="11" l="1"/>
  <c r="AF7" i="11"/>
  <c r="AG7" i="11" s="1"/>
  <c r="AH7" i="11" s="1"/>
  <c r="AI7" i="11" s="1"/>
  <c r="AJ7" i="11" s="1"/>
  <c r="AK7" i="11" s="1"/>
  <c r="AE5" i="11"/>
  <c r="M8" i="11"/>
  <c r="AL7" i="11" l="1"/>
  <c r="AM7" i="11" s="1"/>
  <c r="AN7" i="11" s="1"/>
  <c r="AO7" i="11" s="1"/>
  <c r="AP7" i="11" s="1"/>
  <c r="AQ7" i="11" s="1"/>
  <c r="AR7" i="11" s="1"/>
  <c r="N8" i="11"/>
  <c r="AS7" i="11" l="1"/>
  <c r="AT7" i="11" s="1"/>
  <c r="AL5" i="11"/>
  <c r="O8" i="11"/>
  <c r="AU7" i="11" l="1"/>
  <c r="AT8" i="11"/>
  <c r="AS5" i="11"/>
  <c r="P8" i="11"/>
  <c r="AV7" i="11" l="1"/>
  <c r="AU8" i="11"/>
  <c r="AW7" i="11" l="1"/>
  <c r="AV8" i="11"/>
  <c r="Q8" i="11"/>
  <c r="R8" i="11"/>
  <c r="AX7" i="11" l="1"/>
  <c r="AW8" i="11"/>
  <c r="S8" i="11"/>
  <c r="AY7" i="11" l="1"/>
  <c r="AZ7" i="11" s="1"/>
  <c r="AX8" i="11"/>
  <c r="T8" i="11"/>
  <c r="AZ8" i="11" l="1"/>
  <c r="BA7" i="11"/>
  <c r="AZ5" i="11"/>
  <c r="AY8" i="11"/>
  <c r="U8" i="11"/>
  <c r="BB7" i="11" l="1"/>
  <c r="BA8" i="11"/>
  <c r="V8" i="11"/>
  <c r="BB8" i="11" l="1"/>
  <c r="BC7" i="11"/>
  <c r="W8" i="11"/>
  <c r="BC8" i="11" l="1"/>
  <c r="BD7" i="11"/>
  <c r="X8" i="11"/>
  <c r="BD8" i="11" l="1"/>
  <c r="BE7" i="11"/>
  <c r="Y8" i="11"/>
  <c r="BF7" i="11" l="1"/>
  <c r="BE8" i="11"/>
  <c r="Z8" i="11"/>
  <c r="BF8" i="11" l="1"/>
  <c r="BG7" i="11"/>
  <c r="AA8" i="11"/>
  <c r="BG8" i="11" l="1"/>
  <c r="BH7" i="11"/>
  <c r="BG5" i="11"/>
  <c r="AB8" i="11"/>
  <c r="BH8" i="11" l="1"/>
  <c r="BI7" i="11"/>
  <c r="AC8" i="11"/>
  <c r="BJ7" i="11" l="1"/>
  <c r="BI8" i="11"/>
  <c r="AD8" i="11"/>
  <c r="BK7" i="11" l="1"/>
  <c r="BJ8" i="11"/>
  <c r="AE8" i="11"/>
  <c r="BL7" i="11" l="1"/>
  <c r="BK8" i="11"/>
  <c r="AF8" i="11"/>
  <c r="BM7" i="11" l="1"/>
  <c r="BN7" i="11" s="1"/>
  <c r="BL8" i="11"/>
  <c r="AG8" i="11"/>
  <c r="BN5" i="11" l="1"/>
  <c r="BO7" i="11"/>
  <c r="BN8" i="11"/>
  <c r="BM8" i="11"/>
  <c r="AH8" i="11"/>
  <c r="BP7" i="11" l="1"/>
  <c r="BO8" i="11"/>
  <c r="AI8" i="11"/>
  <c r="BQ7" i="11" l="1"/>
  <c r="BP8" i="11"/>
  <c r="AJ8" i="11"/>
  <c r="BR7" i="11" l="1"/>
  <c r="BQ8" i="11"/>
  <c r="AK8" i="11"/>
  <c r="BR8" i="11" l="1"/>
  <c r="BS7" i="11"/>
  <c r="AL8" i="11"/>
  <c r="BS8" i="11" l="1"/>
  <c r="BT7" i="11"/>
  <c r="AM8" i="11"/>
  <c r="BT8" i="11" l="1"/>
  <c r="BU7" i="11"/>
  <c r="AN8" i="11"/>
  <c r="BV7" i="11" l="1"/>
  <c r="BU8" i="11"/>
  <c r="BU5" i="11"/>
  <c r="AO8" i="11"/>
  <c r="BV8" i="11" l="1"/>
  <c r="BW7" i="11"/>
  <c r="AP8" i="11"/>
  <c r="BX7" i="11" l="1"/>
  <c r="BW8" i="11"/>
  <c r="AQ8" i="11"/>
  <c r="BY7" i="11" l="1"/>
  <c r="BX8" i="11"/>
  <c r="AR8" i="11"/>
  <c r="BY8" i="11" l="1"/>
  <c r="BZ7" i="11"/>
  <c r="AS8" i="11"/>
  <c r="CA7" i="11" l="1"/>
  <c r="BZ8" i="11"/>
  <c r="CA8" i="11" l="1"/>
  <c r="CB7" i="11"/>
  <c r="CB8" i="11" l="1"/>
  <c r="CB5" i="11"/>
  <c r="CC7" i="11"/>
  <c r="CD7" i="11" l="1"/>
  <c r="CC8" i="11"/>
  <c r="CE7" i="11" l="1"/>
  <c r="CD8" i="11"/>
  <c r="CE8" i="11" l="1"/>
  <c r="CF7" i="11"/>
  <c r="CG7" i="11" l="1"/>
  <c r="CF8" i="11"/>
  <c r="CG8" i="11" l="1"/>
  <c r="CH7" i="11"/>
  <c r="CH8" i="11" l="1"/>
  <c r="CI7" i="11"/>
  <c r="CJ7" i="11" l="1"/>
  <c r="CI5" i="11"/>
  <c r="CI8" i="11"/>
  <c r="CK7" i="11" l="1"/>
  <c r="CJ8" i="11"/>
  <c r="CL7" i="11" l="1"/>
  <c r="CK8" i="11"/>
  <c r="CL8" i="11" l="1"/>
  <c r="CM7" i="11"/>
  <c r="CN7" i="11" l="1"/>
  <c r="CM8" i="11"/>
  <c r="CO7" i="11" l="1"/>
  <c r="CN8" i="11"/>
  <c r="CP7" i="11" l="1"/>
  <c r="CO8" i="11"/>
  <c r="CQ7" i="11" l="1"/>
  <c r="CP5" i="11"/>
  <c r="CP8" i="11"/>
  <c r="CQ8" i="11" l="1"/>
  <c r="CR7" i="11"/>
  <c r="CS7" i="11" l="1"/>
  <c r="CR8" i="11"/>
  <c r="CT7" i="11" l="1"/>
  <c r="CS8" i="11"/>
  <c r="CU7" i="11" l="1"/>
  <c r="CT8" i="11"/>
  <c r="CV7" i="11" l="1"/>
  <c r="CU8" i="11"/>
  <c r="CV8" i="11" l="1"/>
  <c r="CW7" i="11"/>
  <c r="CX7" i="11" l="1"/>
  <c r="CW5" i="11"/>
  <c r="CW8" i="11"/>
  <c r="CY7" i="11" l="1"/>
  <c r="CX8" i="11"/>
  <c r="CY8" i="11" l="1"/>
  <c r="CZ7" i="11"/>
  <c r="DA7" i="11" l="1"/>
  <c r="CZ8" i="11"/>
  <c r="DB7" i="11" l="1"/>
  <c r="DA8" i="11"/>
  <c r="DB8" i="11" l="1"/>
  <c r="DC7" i="11"/>
  <c r="DC8" i="11" l="1"/>
  <c r="DD7" i="11"/>
  <c r="DD8" i="11" l="1"/>
  <c r="DD5" i="11"/>
  <c r="DE7" i="11"/>
  <c r="DE8" i="11" l="1"/>
  <c r="DF7" i="11"/>
  <c r="DG7" i="11" l="1"/>
  <c r="DF8" i="11"/>
  <c r="DH7" i="11" l="1"/>
  <c r="DG8" i="11"/>
  <c r="DH8" i="11" l="1"/>
  <c r="DI7" i="11"/>
  <c r="DJ7" i="11" l="1"/>
  <c r="DI8" i="11"/>
  <c r="DJ8" i="11" l="1"/>
  <c r="DK7" i="11"/>
  <c r="DL7" i="11" l="1"/>
  <c r="DK8" i="11"/>
  <c r="DK5" i="11"/>
  <c r="DM7" i="11" l="1"/>
  <c r="DL8" i="11"/>
  <c r="DN7" i="11" l="1"/>
  <c r="DM8" i="11"/>
  <c r="DN8" i="11" l="1"/>
  <c r="DO7" i="11"/>
  <c r="DP7" i="11" l="1"/>
  <c r="DO8" i="11"/>
  <c r="DQ7" i="11" l="1"/>
  <c r="DP8" i="11"/>
  <c r="DQ8" i="11" l="1"/>
  <c r="DR7" i="11"/>
  <c r="DR8" i="11" l="1"/>
  <c r="DS7" i="11"/>
  <c r="DR5" i="11"/>
  <c r="DS8" i="11" l="1"/>
  <c r="DT7" i="11"/>
  <c r="DT8" i="11" l="1"/>
  <c r="DU7" i="11"/>
  <c r="DV7" i="11" l="1"/>
  <c r="DU8" i="11"/>
  <c r="DW7" i="11" l="1"/>
  <c r="DV8" i="11"/>
  <c r="DX7" i="11" l="1"/>
  <c r="DW8" i="11"/>
  <c r="DX8" i="11" l="1"/>
  <c r="DY7" i="11"/>
  <c r="DY8" i="11" l="1"/>
  <c r="DY5" i="11"/>
  <c r="DZ7" i="11"/>
  <c r="DZ8" i="11" l="1"/>
  <c r="EA7" i="11"/>
  <c r="EA8" i="11" l="1"/>
  <c r="EB7" i="11"/>
  <c r="EB8" i="11" l="1"/>
  <c r="EC7" i="11"/>
  <c r="EC8" i="11" l="1"/>
  <c r="ED7" i="11"/>
  <c r="EE7" i="11" l="1"/>
  <c r="ED8" i="11"/>
  <c r="EE8" i="11" l="1"/>
  <c r="EF7" i="11"/>
  <c r="EF8" i="11" l="1"/>
  <c r="EF5" i="11"/>
  <c r="EG7" i="11"/>
  <c r="EH7" i="11" l="1"/>
  <c r="EG8" i="11"/>
  <c r="EH8" i="11" l="1"/>
  <c r="EI7" i="11"/>
  <c r="EI8" i="11" l="1"/>
  <c r="EJ7" i="11"/>
  <c r="EK7" i="11" l="1"/>
  <c r="EJ8" i="11"/>
  <c r="EL7" i="11" l="1"/>
  <c r="EK8" i="11"/>
  <c r="EL8" i="11" l="1"/>
  <c r="EM7" i="11"/>
  <c r="EM8" i="11" l="1"/>
  <c r="EM5" i="11"/>
  <c r="EN7" i="11"/>
  <c r="EN8" i="11" l="1"/>
  <c r="EO7" i="11"/>
  <c r="EP7" i="11" l="1"/>
  <c r="EO8" i="11"/>
  <c r="EQ7" i="11" l="1"/>
  <c r="EP8" i="11"/>
  <c r="ER7" i="11" l="1"/>
  <c r="EQ8" i="11"/>
  <c r="ES7" i="11" l="1"/>
  <c r="ER8" i="11"/>
  <c r="ES8" i="11" l="1"/>
  <c r="ET7" i="11"/>
  <c r="ET5" i="11" l="1"/>
  <c r="EU7" i="11"/>
  <c r="ET8" i="11"/>
  <c r="EU8" i="11" l="1"/>
  <c r="EV7" i="11"/>
  <c r="EV8" i="11" l="1"/>
  <c r="EW7" i="11"/>
  <c r="EX7" i="11" l="1"/>
  <c r="EW8" i="11"/>
  <c r="EX8" i="11" l="1"/>
  <c r="EY7" i="11"/>
  <c r="EZ7" i="11" l="1"/>
  <c r="EY8" i="11"/>
  <c r="EZ8" i="11" l="1"/>
  <c r="FA7" i="11"/>
  <c r="FA5" i="11" l="1"/>
  <c r="FB7" i="11"/>
  <c r="FA8" i="11"/>
  <c r="FC7" i="11" l="1"/>
  <c r="FB8" i="11"/>
  <c r="FC8" i="11" l="1"/>
  <c r="FD7" i="11"/>
  <c r="FE7" i="11" l="1"/>
  <c r="FD8" i="11"/>
  <c r="FE8" i="11" l="1"/>
  <c r="FF7" i="11"/>
  <c r="FG7" i="11" l="1"/>
  <c r="FF8" i="11"/>
  <c r="FG8" i="11" l="1"/>
  <c r="FH7" i="11"/>
  <c r="FH8" i="11" l="1"/>
  <c r="FH5" i="11"/>
  <c r="FI7" i="11"/>
  <c r="FJ7" i="11" l="1"/>
  <c r="FI8" i="11"/>
  <c r="FJ8" i="11" l="1"/>
  <c r="FK7" i="11"/>
  <c r="FL7" i="11" l="1"/>
  <c r="FK8" i="11"/>
  <c r="FM7" i="11" l="1"/>
  <c r="FL8" i="11"/>
  <c r="FN7" i="11" l="1"/>
  <c r="FN8" i="11" s="1"/>
  <c r="FM8"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Admin_AdamChilal</author>
  </authors>
  <commentList>
    <comment ref="AB1" authorId="0" shapeId="0" xr:uid="{BC840B35-182F-46DA-A38F-A7FBD7EC7C1E}">
      <text>
        <r>
          <rPr>
            <b/>
            <sz val="9"/>
            <color indexed="81"/>
            <rFont val="Tahoma"/>
            <family val="2"/>
          </rPr>
          <t>Rules: 
1) Ensure inputs are correct, incorrect inputs can ruin data, follow prompts and go slow
2) Do not change the Project Title or subtitles once created, this includes the excel sheet name 
3) Always accept anything that excel asks before using this chart
4) If a new project needs to be added to an exisitng project list CONTACT IT, this is difficult to accomplish without breaking the other charts(Temporary rule)
5) You can change the number of subprojects under a project by moving the other projects down and copying the enitre row.
6) Do not create a new sheet that already has a hyper link
7) Only change values for subprojects WITHOUT Hyper Links
8) Write notes and other information on a different sheet. They will be saved.
9) Go to File/Options/Advanced/General, and uncheck the checkbox that says "Ask to update automatic links"
10) Go to File/Options/TrustCenter and enable all data updates(not recommended), but do so at your own peril, this will decrease pop ups when using this, but leaves you vulnerable to downloading excel sheets with bad macros.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<sst xmlns="http://schemas.openxmlformats.org/spreadsheetml/2006/main" count="19" uniqueCount="19">
  <si>
    <t>Project start:</t>
  </si>
  <si>
    <t>Display week:</t>
  </si>
  <si>
    <t xml:space="preserve">Responsible </t>
  </si>
  <si>
    <t xml:space="preserve">Intial Budget </t>
  </si>
  <si>
    <t>Actual Cost</t>
  </si>
  <si>
    <t>TASK</t>
  </si>
  <si>
    <t>ASSIGNED TO</t>
  </si>
  <si>
    <t xml:space="preserve">Actual Cost </t>
  </si>
  <si>
    <t>PROGRESS</t>
  </si>
  <si>
    <t>START</t>
  </si>
  <si>
    <t>END</t>
  </si>
  <si>
    <t xml:space="preserve">Do not delete this row. This row is hidden to preserve a formula that is used to highlight the current day within the project schedule. </t>
  </si>
  <si>
    <t>Griff Paper and Film</t>
  </si>
  <si>
    <t>Griff</t>
  </si>
  <si>
    <t>Company</t>
  </si>
  <si>
    <t>Griff and Associates</t>
  </si>
  <si>
    <t>Global_Gantt_Chart</t>
  </si>
  <si>
    <t>To See Rules right click and show note, or hover over cell AB:01</t>
  </si>
  <si>
    <t>To Create a Child Gantt Chart, Hit the Create New Spreadsheet 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</si>
</sst>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43" formatCode="_(* #,##0.00_);_(* \(#,##0.00\);_(* &quot;-&quot;??_);_(@_)"/>
    <numFmt numFmtId="164" formatCode="m/d/yy;@"/>
    <numFmt numFmtId="165" formatCode="ddd\,\ m/d/yyyy"/>
    <numFmt numFmtId="166" formatCode="mmm\ d\,\ yyyy"/>
    <numFmt numFmtId="167" formatCode="d"/>
  </numFmts>
  <fonts count="18" x14ac:knownFonts="1">
    <font>
      <sz val="11"/>
      <color theme="1"/>
      <name val="Arial"/>
      <family val="2"/>
      <scheme val="minor"/>
    </font>
    <font>
      <sz val="10"/>
      <name val="Arial"/>
      <family val="2"/>
      <scheme val="minor"/>
    </font>
    <font>
      <u/>
      <sz val="11"/>
      <color indexed="12"/>
      <name val="Arial"/>
      <family val="2"/>
    </font>
    <font>
      <sz val="11"/>
      <name val="Arial"/>
      <family val="2"/>
      <scheme val="minor"/>
    </font>
    <font>
      <sz val="11"/>
      <color theme="1"/>
      <name val="Arial"/>
      <family val="2"/>
      <scheme val="minor"/>
    </font>
    <font>
      <sz val="14"/>
      <color theme="1"/>
      <name val="Arial"/>
      <family val="2"/>
      <scheme val="minor"/>
    </font>
    <font>
      <b/>
      <sz val="22"/>
      <color theme="1" tint="0.34998626667073579"/>
      <name val="Arial Black"/>
      <family val="2"/>
      <scheme val="major"/>
    </font>
    <font>
      <sz val="11"/>
      <color theme="0"/>
      <name val="Arial"/>
      <family val="2"/>
      <scheme val="minor"/>
    </font>
    <font>
      <sz val="16"/>
      <color theme="1"/>
      <name val="Arial"/>
      <family val="2"/>
      <scheme val="minor"/>
    </font>
    <font>
      <sz val="10"/>
      <color theme="1"/>
      <name val="Arial"/>
      <family val="2"/>
      <scheme val="minor"/>
    </font>
    <font>
      <sz val="11"/>
      <color rgb="FF000000"/>
      <name val="Arial"/>
      <family val="2"/>
    </font>
    <font>
      <sz val="8"/>
      <name val="Arial"/>
      <family val="2"/>
      <scheme val="minor"/>
    </font>
    <font>
      <sz val="8"/>
      <color theme="1"/>
      <name val="Arial"/>
      <family val="2"/>
      <scheme val="minor"/>
    </font>
    <font>
      <sz val="18"/>
      <color theme="1"/>
      <name val="Arial"/>
      <family val="2"/>
      <scheme val="minor"/>
    </font>
    <font>
      <sz val="12"/>
      <color theme="1"/>
      <name val="Arial"/>
      <family val="2"/>
      <scheme val="minor"/>
    </font>
    <font>
      <sz val="20"/>
      <color theme="1"/>
      <name val="Arial"/>
      <family val="2"/>
      <scheme val="minor"/>
    </font>
    <font>
      <b/>
      <sz val="9"/>
      <color indexed="81"/>
      <name val="Tahoma"/>
      <family val="2"/>
    </font>
    <font>
      <sz val="12"/>
      <name val="Arial"/>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4" tint="0.59996337778862885"/>
        <bgColor indexed="64"/>
      </patternFill>
    </fill>
    <fill>
      <patternFill patternType="solid">
        <fgColor theme="0" tint="-4.9989318521683403E-2"/>
        <bgColor theme="4"/>
      </patternFill>
    </fill>
    <fill>
      <patternFill patternType="solid">
        <fgColor theme="0" tint="-0.14996795556505021"/>
        <bgColor indexed="64"/>
      </patternFill>
    </fill>
  </fills>
  <borders count="17">
    <border>
      <left/>
      <right/>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3743705557422"/>
      </left>
      <right style="thin">
        <color theme="0" tint="-0.14993743705557422"/>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top/>
      <bottom style="thin">
        <color theme="4" tint="0.59996337778862885"/>
      </bottom>
      <diagonal/>
    </border>
    <border>
      <left/>
      <right/>
      <top style="thin">
        <color theme="4" tint="0.59996337778862885"/>
      </top>
      <bottom style="thin">
        <color theme="4" tint="0.59996337778862885"/>
      </bottom>
      <diagonal/>
    </border>
    <border>
      <left/>
      <right/>
      <top style="thin">
        <color theme="0" tint="-4.9989318521683403E-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top/>
      <bottom style="thin">
        <color theme="1" tint="0.499984740745262"/>
      </bottom>
      <diagonal/>
    </border>
  </borders>
  <cellStyleXfs count="14">
    <xf numFmtId="0" fontId="0" fillId="0" borderId="0"/>
    <xf numFmtId="0" fontId="2" fillId="0" borderId="0" applyNumberFormat="0" applyFill="0" applyBorder="0" applyAlignment="0" applyProtection="0">
      <alignment vertical="top"/>
      <protection locked="0"/>
    </xf>
    <xf numFmtId="9" fontId="4" fillId="0" borderId="0" applyFont="0" applyFill="0" applyBorder="0" applyAlignment="0" applyProtection="0"/>
    <xf numFmtId="0" fontId="7" fillId="0" borderId="0"/>
    <xf numFmtId="43" fontId="4" fillId="0" borderId="2" applyFont="0" applyFill="0" applyAlignment="0" applyProtection="0"/>
    <xf numFmtId="0" fontId="6" fillId="0" borderId="0" applyNumberFormat="0" applyFill="0" applyBorder="0" applyAlignment="0" applyProtection="0"/>
    <xf numFmtId="0" fontId="5" fillId="0" borderId="0" applyNumberFormat="0" applyFill="0" applyAlignment="0" applyProtection="0"/>
    <xf numFmtId="0" fontId="5" fillId="0" borderId="0" applyNumberFormat="0" applyFill="0" applyProtection="0">
      <alignment vertical="top"/>
    </xf>
    <xf numFmtId="0" fontId="4" fillId="0" borderId="0" applyNumberFormat="0" applyFill="0" applyProtection="0">
      <alignment horizontal="right" indent="1"/>
    </xf>
    <xf numFmtId="165" fontId="4" fillId="0" borderId="2">
      <alignment horizontal="center" vertical="center"/>
    </xf>
    <xf numFmtId="164" fontId="4" fillId="0" borderId="1" applyFill="0">
      <alignment horizontal="center" vertical="center"/>
    </xf>
    <xf numFmtId="0" fontId="4" fillId="0" borderId="1" applyFill="0">
      <alignment horizontal="center" vertical="center"/>
    </xf>
    <xf numFmtId="0" fontId="4" fillId="0" borderId="1" applyFill="0">
      <alignment horizontal="left" vertical="center" indent="2"/>
    </xf>
    <xf numFmtId="44" fontId="4" fillId="0" borderId="0" applyFont="0" applyFill="0" applyBorder="0" applyAlignment="0" applyProtection="0"/>
  </cellStyleXfs>
  <cellXfs count="62">
    <xf numFmtId="0" fontId="0" fillId="0" borderId="0" xfId="0"/>
    <xf numFmtId="0" fontId="3" fillId="0" borderId="1" xfId="0" applyFont="1" applyBorder="1" applyAlignment="1">
      <alignment horizontal="center" vertical="center"/>
    </xf>
    <xf numFmtId="0" fontId="3" fillId="0" borderId="0" xfId="0" applyFont="1" applyAlignment="1">
      <alignment horizontal="center" vertical="center"/>
    </xf>
    <xf numFmtId="0" fontId="8" fillId="0" borderId="0" xfId="0" applyFont="1"/>
    <xf numFmtId="166" fontId="9" fillId="2" borderId="14" xfId="0" applyNumberFormat="1" applyFont="1" applyFill="1" applyBorder="1" applyAlignment="1">
      <alignment horizontal="center" vertical="center" wrapText="1"/>
    </xf>
    <xf numFmtId="166" fontId="9" fillId="2" borderId="13" xfId="0" applyNumberFormat="1" applyFont="1" applyFill="1" applyBorder="1" applyAlignment="1">
      <alignment horizontal="center" vertical="center" wrapText="1"/>
    </xf>
    <xf numFmtId="166" fontId="9" fillId="2" borderId="15" xfId="0" applyNumberFormat="1" applyFont="1" applyFill="1" applyBorder="1" applyAlignment="1">
      <alignment horizontal="center" vertical="center" wrapText="1"/>
    </xf>
    <xf numFmtId="167" fontId="11" fillId="6" borderId="15" xfId="0" applyNumberFormat="1" applyFont="1" applyFill="1" applyBorder="1" applyAlignment="1">
      <alignment horizontal="center" vertical="center"/>
    </xf>
    <xf numFmtId="167" fontId="11" fillId="6" borderId="13" xfId="0" applyNumberFormat="1" applyFont="1" applyFill="1" applyBorder="1" applyAlignment="1">
      <alignment horizontal="center" vertical="center"/>
    </xf>
    <xf numFmtId="167" fontId="11" fillId="6" borderId="14" xfId="0" applyNumberFormat="1" applyFont="1" applyFill="1" applyBorder="1" applyAlignment="1">
      <alignment horizontal="center" vertical="center"/>
    </xf>
    <xf numFmtId="0" fontId="12" fillId="2" borderId="12" xfId="0" applyFont="1" applyFill="1" applyBorder="1" applyAlignment="1">
      <alignment horizontal="center" vertical="center" shrinkToFit="1"/>
    </xf>
    <xf numFmtId="0" fontId="12" fillId="2" borderId="9" xfId="0" applyFont="1" applyFill="1" applyBorder="1" applyAlignment="1">
      <alignment horizontal="center" vertical="center" shrinkToFit="1"/>
    </xf>
    <xf numFmtId="0" fontId="12" fillId="2" borderId="10" xfId="0" applyFont="1" applyFill="1" applyBorder="1" applyAlignment="1">
      <alignment horizontal="center" vertical="center" shrinkToFit="1"/>
    </xf>
    <xf numFmtId="0" fontId="7" fillId="0" borderId="0" xfId="3" applyAlignment="1">
      <alignment wrapText="1"/>
    </xf>
    <xf numFmtId="0" fontId="13" fillId="0" borderId="0" xfId="5" applyFont="1" applyAlignment="1">
      <alignment horizontal="left"/>
    </xf>
    <xf numFmtId="0" fontId="4" fillId="0" borderId="0" xfId="0" applyFont="1"/>
    <xf numFmtId="0" fontId="7" fillId="0" borderId="0" xfId="3"/>
    <xf numFmtId="0" fontId="3" fillId="0" borderId="0" xfId="0" applyFont="1" applyAlignment="1">
      <alignment horizontal="left" indent="1"/>
    </xf>
    <xf numFmtId="0" fontId="4" fillId="0" borderId="0" xfId="8">
      <alignment horizontal="right" indent="1"/>
    </xf>
    <xf numFmtId="0" fontId="4" fillId="0" borderId="0" xfId="0" applyFont="1" applyAlignment="1">
      <alignment horizontal="center"/>
    </xf>
    <xf numFmtId="0" fontId="1" fillId="0" borderId="0" xfId="1" applyFont="1" applyAlignment="1" applyProtection="1">
      <alignment horizontal="left" vertical="top" indent="1"/>
    </xf>
    <xf numFmtId="44" fontId="4" fillId="0" borderId="0" xfId="13" applyFont="1"/>
    <xf numFmtId="0" fontId="4" fillId="0" borderId="0" xfId="0" applyFont="1" applyAlignment="1">
      <alignment horizontal="left" indent="1"/>
    </xf>
    <xf numFmtId="0" fontId="9" fillId="0" borderId="0" xfId="0" applyFont="1"/>
    <xf numFmtId="0" fontId="9" fillId="0" borderId="0" xfId="0" applyFont="1" applyAlignment="1">
      <alignment wrapText="1"/>
    </xf>
    <xf numFmtId="0" fontId="4" fillId="0" borderId="3" xfId="0" applyFont="1" applyBorder="1" applyAlignment="1">
      <alignment vertical="center"/>
    </xf>
    <xf numFmtId="0" fontId="14" fillId="4" borderId="0" xfId="0" applyFont="1" applyFill="1" applyAlignment="1">
      <alignment horizontal="left" vertical="center" indent="1"/>
    </xf>
    <xf numFmtId="0" fontId="4" fillId="0" borderId="7" xfId="0" applyFont="1" applyBorder="1" applyAlignment="1">
      <alignment vertical="center"/>
    </xf>
    <xf numFmtId="0" fontId="4" fillId="0" borderId="0" xfId="0" applyFont="1" applyAlignment="1">
      <alignment vertical="center"/>
    </xf>
    <xf numFmtId="0" fontId="4" fillId="0" borderId="4" xfId="0" applyFont="1" applyBorder="1" applyAlignment="1">
      <alignment vertical="center"/>
    </xf>
    <xf numFmtId="0" fontId="4" fillId="0" borderId="4" xfId="0" applyFont="1" applyBorder="1" applyAlignment="1">
      <alignment horizontal="right" vertical="center"/>
    </xf>
    <xf numFmtId="0" fontId="2" fillId="3" borderId="5" xfId="1" applyFill="1" applyBorder="1" applyAlignment="1" applyProtection="1">
      <alignment horizontal="left" vertical="center" indent="2"/>
    </xf>
    <xf numFmtId="0" fontId="15" fillId="0" borderId="0" xfId="0" applyFont="1"/>
    <xf numFmtId="0" fontId="9" fillId="0" borderId="0" xfId="0" applyFont="1" applyAlignment="1">
      <alignment horizontal="center"/>
    </xf>
    <xf numFmtId="0" fontId="9" fillId="0" borderId="0" xfId="0" applyFont="1" applyAlignment="1">
      <alignment horizontal="center" vertical="center"/>
    </xf>
    <xf numFmtId="0" fontId="8" fillId="0" borderId="0" xfId="8" applyFont="1" applyAlignment="1">
      <alignment horizontal="left"/>
    </xf>
    <xf numFmtId="0" fontId="8" fillId="0" borderId="0" xfId="0" applyFont="1" applyAlignment="1">
      <alignment horizontal="left"/>
    </xf>
    <xf numFmtId="0" fontId="4" fillId="3" borderId="5" xfId="11" applyFill="1" applyBorder="1" applyAlignment="1">
      <alignment vertical="center"/>
    </xf>
    <xf numFmtId="9" fontId="3" fillId="3" borderId="5" xfId="2" applyFont="1" applyFill="1" applyBorder="1" applyAlignment="1">
      <alignment horizontal="center" vertical="center"/>
    </xf>
    <xf numFmtId="164" fontId="4" fillId="3" borderId="5" xfId="10" applyFill="1" applyBorder="1">
      <alignment horizontal="center" vertical="center"/>
    </xf>
    <xf numFmtId="0" fontId="4" fillId="3" borderId="6" xfId="12" applyFill="1" applyBorder="1" applyAlignment="1">
      <alignment horizontal="left" vertical="center" wrapText="1" indent="2"/>
    </xf>
    <xf numFmtId="0" fontId="4" fillId="3" borderId="6" xfId="11" applyFill="1" applyBorder="1" applyAlignment="1">
      <alignment vertical="center"/>
    </xf>
    <xf numFmtId="9" fontId="3" fillId="3" borderId="6" xfId="2" applyFont="1" applyFill="1" applyBorder="1" applyAlignment="1">
      <alignment horizontal="center" vertical="center"/>
    </xf>
    <xf numFmtId="164" fontId="4" fillId="3" borderId="6" xfId="10" applyFill="1" applyBorder="1">
      <alignment horizontal="center" vertical="center"/>
    </xf>
    <xf numFmtId="0" fontId="14" fillId="4" borderId="0" xfId="11" applyFont="1" applyFill="1" applyBorder="1" applyAlignment="1">
      <alignment vertical="center"/>
    </xf>
    <xf numFmtId="9" fontId="17" fillId="4" borderId="0" xfId="2" applyFont="1" applyFill="1" applyBorder="1" applyAlignment="1">
      <alignment horizontal="center" vertical="center"/>
    </xf>
    <xf numFmtId="164" fontId="14" fillId="4" borderId="0" xfId="0" applyNumberFormat="1" applyFont="1" applyFill="1" applyAlignment="1">
      <alignment horizontal="center" vertical="center"/>
    </xf>
    <xf numFmtId="164" fontId="17" fillId="4" borderId="0" xfId="0" applyNumberFormat="1" applyFont="1" applyFill="1" applyAlignment="1">
      <alignment horizontal="center" vertical="center"/>
    </xf>
    <xf numFmtId="166" fontId="9" fillId="2" borderId="8" xfId="0" applyNumberFormat="1" applyFont="1" applyFill="1" applyBorder="1" applyAlignment="1">
      <alignment horizontal="center" vertical="center" wrapText="1"/>
    </xf>
    <xf numFmtId="166" fontId="9" fillId="2" borderId="14" xfId="0" applyNumberFormat="1" applyFont="1" applyFill="1" applyBorder="1" applyAlignment="1">
      <alignment horizontal="center" vertical="center" wrapText="1"/>
    </xf>
    <xf numFmtId="0" fontId="7" fillId="0" borderId="0" xfId="3" applyAlignment="1">
      <alignment wrapText="1"/>
    </xf>
    <xf numFmtId="0" fontId="9" fillId="5" borderId="11" xfId="0" applyFont="1" applyFill="1" applyBorder="1" applyAlignment="1">
      <alignment horizontal="left" vertical="center" indent="1"/>
    </xf>
    <xf numFmtId="0" fontId="4" fillId="2" borderId="16" xfId="0" applyFont="1" applyFill="1" applyBorder="1" applyAlignment="1">
      <alignment horizontal="left" indent="1"/>
    </xf>
    <xf numFmtId="0" fontId="9" fillId="5" borderId="11" xfId="0" applyFont="1" applyFill="1" applyBorder="1" applyAlignment="1">
      <alignment vertical="center"/>
    </xf>
    <xf numFmtId="0" fontId="4" fillId="2" borderId="16" xfId="0" applyFont="1" applyFill="1" applyBorder="1"/>
    <xf numFmtId="0" fontId="9" fillId="5" borderId="11" xfId="0" applyFont="1" applyFill="1" applyBorder="1" applyAlignment="1">
      <alignment horizontal="center" vertical="center"/>
    </xf>
    <xf numFmtId="0" fontId="8" fillId="0" borderId="0" xfId="0" applyFont="1" applyAlignment="1">
      <alignment horizontal="left"/>
    </xf>
    <xf numFmtId="0" fontId="4" fillId="0" borderId="0" xfId="0" applyFont="1"/>
    <xf numFmtId="165" fontId="8" fillId="0" borderId="0" xfId="9" applyFont="1" applyBorder="1" applyAlignment="1">
      <alignment horizontal="left"/>
    </xf>
    <xf numFmtId="0" fontId="8" fillId="0" borderId="0" xfId="8" applyFont="1" applyAlignment="1">
      <alignment horizontal="left"/>
    </xf>
    <xf numFmtId="0" fontId="9" fillId="0" borderId="0" xfId="6" applyFont="1" applyAlignment="1">
      <alignment horizontal="center" vertical="center" wrapText="1"/>
    </xf>
    <xf numFmtId="166" fontId="9" fillId="2" borderId="13" xfId="0" applyNumberFormat="1" applyFont="1" applyFill="1" applyBorder="1" applyAlignment="1">
      <alignment horizontal="center" vertical="center" wrapText="1"/>
    </xf>
  </cellXfs>
  <cellStyles count="14">
    <cellStyle name="Comma" xfId="4" builtinId="3" customBuiltin="1"/>
    <cellStyle name="Currency" xfId="13" builtinId="4"/>
    <cellStyle name="Date" xfId="10"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ame" xfId="11" xr:uid="{B2D3C1EE-6B41-4801-AAFC-C2274E49E503}"/>
    <cellStyle name="Normal" xfId="0" builtinId="0"/>
    <cellStyle name="Percent" xfId="2" builtinId="5"/>
    <cellStyle name="Project Start" xfId="9" xr:uid="{8EB8A09A-C31C-40A3-B2C1-9449520178B8}"/>
    <cellStyle name="Task" xfId="12" xr:uid="{6391D789-272B-4DD2-9BF3-2CDCF610FA41}"/>
    <cellStyle name="Title" xfId="5" builtinId="15" customBuiltin="1"/>
    <cellStyle name="zHiddenText" xfId="3" xr:uid="{26E66EE6-E33F-4D77-BAE4-0FB4F5BBF673}"/>
  </cellStyles>
  <dxfs count="28">
    <dxf>
      <fill>
        <patternFill>
          <bgColor theme="4" tint="0.39994506668294322"/>
        </patternFill>
      </fill>
      <border>
        <left/>
        <right/>
        <top style="thin">
          <color theme="0" tint="-4.9989318521683403E-2"/>
        </top>
        <bottom style="thin">
          <color theme="0" tint="-4.9989318521683403E-2"/>
        </bottom>
      </border>
    </dxf>
    <dxf>
      <fill>
        <patternFill>
          <bgColor theme="4" tint="0.79998168889431442"/>
        </patternFill>
      </fill>
      <border>
        <top style="thin">
          <color theme="0" tint="-4.9989318521683403E-2"/>
        </top>
        <bottom style="thin">
          <color theme="0" tint="-4.9989318521683403E-2"/>
        </bottom>
      </border>
    </dxf>
    <dxf>
      <fill>
        <patternFill>
          <bgColor theme="4" tint="0.39994506668294322"/>
        </patternFill>
      </fill>
      <border>
        <left/>
        <right/>
        <top style="thin">
          <color theme="0" tint="-4.9989318521683403E-2"/>
        </top>
        <bottom style="thin">
          <color theme="0" tint="-4.9989318521683403E-2"/>
        </bottom>
      </border>
    </dxf>
    <dxf>
      <fill>
        <patternFill>
          <bgColor theme="4" tint="0.79998168889431442"/>
        </patternFill>
      </fill>
      <border>
        <top style="thin">
          <color theme="0" tint="-4.9989318521683403E-2"/>
        </top>
        <bottom style="thin">
          <color theme="0" tint="-4.9989318521683403E-2"/>
        </bottom>
      </border>
    </dxf>
    <dxf>
      <fill>
        <patternFill>
          <bgColor theme="4" tint="0.39994506668294322"/>
        </patternFill>
      </fill>
      <border>
        <left/>
        <right/>
        <top style="thin">
          <color theme="0" tint="-4.9989318521683403E-2"/>
        </top>
        <bottom style="thin">
          <color theme="0" tint="-4.9989318521683403E-2"/>
        </bottom>
      </border>
    </dxf>
    <dxf>
      <fill>
        <patternFill>
          <bgColor theme="4" tint="0.79998168889431442"/>
        </patternFill>
      </fill>
      <border>
        <top style="thin">
          <color theme="0" tint="-4.9989318521683403E-2"/>
        </top>
        <bottom style="thin">
          <color theme="0" tint="-4.9989318521683403E-2"/>
        </bottom>
      </border>
    </dxf>
    <dxf>
      <fill>
        <patternFill>
          <bgColor theme="4" tint="0.39994506668294322"/>
        </patternFill>
      </fill>
      <border>
        <left/>
        <right/>
        <top style="thin">
          <color theme="0" tint="-4.9989318521683403E-2"/>
        </top>
        <bottom style="thin">
          <color theme="0" tint="-4.9989318521683403E-2"/>
        </bottom>
      </border>
    </dxf>
    <dxf>
      <fill>
        <patternFill>
          <bgColor theme="4" tint="0.79998168889431442"/>
        </patternFill>
      </fill>
      <border>
        <top style="thin">
          <color theme="0" tint="-4.9989318521683403E-2"/>
        </top>
        <bottom style="thin">
          <color theme="0" tint="-4.9989318521683403E-2"/>
        </bottom>
      </border>
    </dxf>
    <dxf>
      <fill>
        <patternFill>
          <bgColor theme="4" tint="0.39994506668294322"/>
        </patternFill>
      </fill>
      <border>
        <left/>
        <right/>
        <top style="thin">
          <color theme="0" tint="-4.9989318521683403E-2"/>
        </top>
        <bottom style="thin">
          <color theme="0" tint="-4.9989318521683403E-2"/>
        </bottom>
      </border>
    </dxf>
    <dxf>
      <fill>
        <patternFill>
          <bgColor theme="4" tint="0.79998168889431442"/>
        </patternFill>
      </fill>
      <border>
        <top style="thin">
          <color theme="0" tint="-4.9989318521683403E-2"/>
        </top>
        <bottom style="thin">
          <color theme="0" tint="-4.9989318521683403E-2"/>
        </bottom>
      </border>
    </dxf>
    <dxf>
      <fill>
        <patternFill>
          <bgColor theme="4" tint="0.39994506668294322"/>
        </patternFill>
      </fill>
      <border>
        <left/>
        <right/>
        <top style="thin">
          <color theme="0" tint="-4.9989318521683403E-2"/>
        </top>
        <bottom style="thin">
          <color theme="0" tint="-4.9989318521683403E-2"/>
        </bottom>
      </border>
    </dxf>
    <dxf>
      <fill>
        <patternFill>
          <bgColor theme="4" tint="0.79998168889431442"/>
        </patternFill>
      </fill>
      <border>
        <top style="thin">
          <color theme="0" tint="-4.9989318521683403E-2"/>
        </top>
        <bottom style="thin">
          <color theme="0" tint="-4.9989318521683403E-2"/>
        </bottom>
      </border>
    </dxf>
    <dxf>
      <fill>
        <patternFill>
          <bgColor theme="4" tint="0.39994506668294322"/>
        </patternFill>
      </fill>
      <border>
        <left/>
        <right/>
        <top style="thin">
          <color theme="0" tint="-4.9989318521683403E-2"/>
        </top>
        <bottom style="thin">
          <color theme="0" tint="-4.9989318521683403E-2"/>
        </bottom>
      </border>
    </dxf>
    <dxf>
      <fill>
        <patternFill>
          <bgColor theme="4" tint="0.79998168889431442"/>
        </patternFill>
      </fill>
      <border>
        <top style="thin">
          <color theme="0" tint="-4.9989318521683403E-2"/>
        </top>
        <bottom style="thin">
          <color theme="0" tint="-4.9989318521683403E-2"/>
        </bottom>
      </border>
    </dxf>
    <dxf>
      <fill>
        <patternFill>
          <bgColor theme="4" tint="0.39994506668294322"/>
        </patternFill>
      </fill>
      <border>
        <left/>
        <right/>
        <top style="thin">
          <color theme="0" tint="-4.9989318521683403E-2"/>
        </top>
        <bottom style="thin">
          <color theme="0" tint="-4.9989318521683403E-2"/>
        </bottom>
      </border>
    </dxf>
    <dxf>
      <fill>
        <patternFill>
          <bgColor theme="4" tint="0.79998168889431442"/>
        </patternFill>
      </fill>
      <border>
        <top style="thin">
          <color theme="0" tint="-4.9989318521683403E-2"/>
        </top>
        <bottom style="thin">
          <color theme="0" tint="-4.9989318521683403E-2"/>
        </bottom>
      </border>
    </dxf>
    <dxf>
      <fill>
        <patternFill>
          <bgColor theme="4" tint="0.39994506668294322"/>
        </patternFill>
      </fill>
      <border>
        <left/>
        <right/>
        <top style="thin">
          <color theme="0" tint="-4.9989318521683403E-2"/>
        </top>
        <bottom style="thin">
          <color theme="0" tint="-4.9989318521683403E-2"/>
        </bottom>
      </border>
    </dxf>
    <dxf>
      <fill>
        <patternFill>
          <bgColor theme="4" tint="0.79998168889431442"/>
        </patternFill>
      </fill>
      <border>
        <top style="thin">
          <color theme="0" tint="-4.9989318521683403E-2"/>
        </top>
        <bottom style="thin">
          <color theme="0" tint="-4.9989318521683403E-2"/>
        </bottom>
      </border>
    </dxf>
    <dxf>
      <border>
        <left style="thin">
          <color theme="5"/>
        </left>
        <right style="thin">
          <color theme="5"/>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27"/>
      <tableStyleElement type="headerRow" dxfId="26"/>
      <tableStyleElement type="totalRow" dxfId="25"/>
      <tableStyleElement type="firstColumn" dxfId="24"/>
      <tableStyleElement type="lastColumn" dxfId="23"/>
      <tableStyleElement type="firstRowStripe" dxfId="22"/>
      <tableStyleElement type="secondRowStripe" dxfId="21"/>
      <tableStyleElement type="firstColumnStripe" dxfId="20"/>
      <tableStyleElement type="secondColumnStripe" dxfId="19"/>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10" Type="http://schemas.microsoft.com/office/2006/relationships/vbaProject" Target="vbaProject.bin"/><Relationship Id="rId4" Type="http://schemas.openxmlformats.org/officeDocument/2006/relationships/sharedStrings" Target="sharedString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47625</xdr:colOff>
          <xdr:row>2</xdr:row>
          <xdr:rowOff>47625</xdr:rowOff>
        </xdr:from>
        <xdr:to>
          <xdr:col>20</xdr:col>
          <xdr:colOff>47625</xdr:colOff>
          <xdr:row>3</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Create New Spreadsheet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200025</xdr:colOff>
          <xdr:row>2</xdr:row>
          <xdr:rowOff>19050</xdr:rowOff>
        </xdr:from>
        <xdr:to>
          <xdr:col>33</xdr:col>
          <xdr:colOff>200025</xdr:colOff>
          <xdr:row>3</xdr:row>
          <xdr:rowOff>161925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Send Email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TM16400962">
      <a:dk1>
        <a:srgbClr val="000000"/>
      </a:dk1>
      <a:lt1>
        <a:srgbClr val="FFFFFF"/>
      </a:lt1>
      <a:dk2>
        <a:srgbClr val="0E2841"/>
      </a:dk2>
      <a:lt2>
        <a:srgbClr val="E8E8E8"/>
      </a:lt2>
      <a:accent1>
        <a:srgbClr val="6528F7"/>
      </a:accent1>
      <a:accent2>
        <a:srgbClr val="D800A6"/>
      </a:accent2>
      <a:accent3>
        <a:srgbClr val="7ECA9C"/>
      </a:accent3>
      <a:accent4>
        <a:srgbClr val="00ABB3"/>
      </a:accent4>
      <a:accent5>
        <a:srgbClr val="FFE227"/>
      </a:accent5>
      <a:accent6>
        <a:srgbClr val="1363DF"/>
      </a:accent6>
      <a:hlink>
        <a:srgbClr val="467886"/>
      </a:hlink>
      <a:folHlink>
        <a:srgbClr val="96607D"/>
      </a:folHlink>
    </a:clrScheme>
    <a:fontScheme name="Custom 32">
      <a:majorFont>
        <a:latin typeface="Arial Black"/>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Company/Company.xls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N15"/>
  <sheetViews>
    <sheetView showGridLines="0" tabSelected="1" showRuler="0" zoomScale="81" zoomScaleNormal="100" zoomScalePageLayoutView="70" workbookViewId="0">
      <selection activeCell="AB1" sqref="AB1"/>
    </sheetView>
  </sheetViews>
  <sheetFormatPr defaultColWidth="8.75" defaultRowHeight="30" customHeight="1" x14ac:dyDescent="0.2"/>
  <cols>
    <col min="1" max="1" width="2.75" style="16" customWidth="1"/>
    <col min="2" max="2" width="29.375" style="15" customWidth="1"/>
    <col min="3" max="4" width="16.75" style="15" customWidth="1"/>
    <col min="5" max="5" width="10.75" style="15" customWidth="1"/>
    <col min="6" max="6" width="10.75" style="19" customWidth="1"/>
    <col min="7" max="7" width="10.75" style="15" customWidth="1"/>
    <col min="8" max="8" width="2.75" style="15" customWidth="1"/>
    <col min="9" max="9" width="6" style="15" hidden="1" customWidth="1"/>
    <col min="10" max="170" width="2.75" style="15" customWidth="1"/>
    <col min="171" max="16384" width="8.75" style="15"/>
  </cols>
  <sheetData>
    <row r="1" spans="1:170" ht="25.5" x14ac:dyDescent="0.35">
      <c r="A1" s="13"/>
      <c r="B1" s="14" t="s">
        <v>16</v>
      </c>
      <c r="C1" s="32"/>
      <c r="D1" s="32"/>
      <c r="E1" s="23"/>
      <c r="F1" s="33"/>
      <c r="G1" s="34"/>
      <c r="I1" s="23"/>
      <c r="J1" s="59" t="s">
        <v>0</v>
      </c>
      <c r="K1" s="57"/>
      <c r="L1" s="57"/>
      <c r="M1" s="57"/>
      <c r="N1" s="57"/>
      <c r="O1" s="57"/>
      <c r="P1" s="57"/>
      <c r="Q1" s="3"/>
      <c r="R1" s="58" cm="1">
        <f t="array" aca="1" ref="R1" ca="1">today</f>
        <v>45825</v>
      </c>
      <c r="S1" s="57"/>
      <c r="T1" s="57"/>
      <c r="U1" s="57"/>
      <c r="V1" s="57"/>
      <c r="W1" s="57"/>
      <c r="X1" s="57"/>
      <c r="Y1" s="57"/>
      <c r="Z1" s="57"/>
      <c r="AA1" s="57"/>
      <c r="AB1" s="15" t="s">
        <v>17</v>
      </c>
    </row>
    <row r="2" spans="1:170" ht="20.25" x14ac:dyDescent="0.3">
      <c r="B2" s="60" t="s">
        <v>18</v>
      </c>
      <c r="C2" s="60"/>
      <c r="D2" s="60"/>
      <c r="E2" s="60"/>
      <c r="F2" s="60"/>
      <c r="G2" s="60"/>
      <c r="J2" s="59" t="s">
        <v>1</v>
      </c>
      <c r="K2" s="57"/>
      <c r="L2" s="57"/>
      <c r="M2" s="57"/>
      <c r="N2" s="57"/>
      <c r="O2" s="57"/>
      <c r="P2" s="57"/>
      <c r="Q2" s="3"/>
      <c r="R2" s="56">
        <v>1</v>
      </c>
      <c r="S2" s="57"/>
      <c r="T2" s="57"/>
      <c r="U2" s="57"/>
      <c r="V2" s="57"/>
      <c r="W2" s="57"/>
      <c r="X2" s="57"/>
      <c r="Y2" s="57"/>
      <c r="Z2" s="57"/>
      <c r="AA2" s="57"/>
    </row>
    <row r="3" spans="1:170" ht="20.25" x14ac:dyDescent="0.3">
      <c r="B3" s="60"/>
      <c r="C3" s="60"/>
      <c r="D3" s="60"/>
      <c r="E3" s="60"/>
      <c r="F3" s="60"/>
      <c r="G3" s="60"/>
      <c r="J3" s="35"/>
      <c r="Q3" s="3"/>
      <c r="R3" s="36"/>
    </row>
    <row r="4" spans="1:170" ht="30" customHeight="1" x14ac:dyDescent="0.2">
      <c r="B4" s="17" t="s">
        <v>2</v>
      </c>
      <c r="C4" s="15" t="s">
        <v>12</v>
      </c>
      <c r="E4" s="18"/>
    </row>
    <row r="5" spans="1:170" ht="14.25" x14ac:dyDescent="0.2">
      <c r="A5" s="13"/>
      <c r="B5" s="20" t="s">
        <v>3</v>
      </c>
      <c r="C5" s="21">
        <v>10</v>
      </c>
      <c r="D5" s="21"/>
      <c r="F5" s="22"/>
      <c r="J5" s="61">
        <f ca="1">J7</f>
        <v>45824</v>
      </c>
      <c r="K5" s="48"/>
      <c r="L5" s="48"/>
      <c r="M5" s="48"/>
      <c r="N5" s="48"/>
      <c r="O5" s="48"/>
      <c r="P5" s="48"/>
      <c r="Q5" s="48">
        <f ca="1">Q7</f>
        <v>45831</v>
      </c>
      <c r="R5" s="48"/>
      <c r="S5" s="48"/>
      <c r="T5" s="48"/>
      <c r="U5" s="48"/>
      <c r="V5" s="48"/>
      <c r="W5" s="48"/>
      <c r="X5" s="48">
        <f ca="1">X7</f>
        <v>45838</v>
      </c>
      <c r="Y5" s="48"/>
      <c r="Z5" s="48"/>
      <c r="AA5" s="48"/>
      <c r="AB5" s="48"/>
      <c r="AC5" s="48"/>
      <c r="AD5" s="48"/>
      <c r="AE5" s="48">
        <f ca="1">AE7</f>
        <v>45845</v>
      </c>
      <c r="AF5" s="48"/>
      <c r="AG5" s="48"/>
      <c r="AH5" s="48"/>
      <c r="AI5" s="48"/>
      <c r="AJ5" s="48"/>
      <c r="AK5" s="48"/>
      <c r="AL5" s="48">
        <f ca="1">AL7</f>
        <v>45852</v>
      </c>
      <c r="AM5" s="48"/>
      <c r="AN5" s="48"/>
      <c r="AO5" s="48"/>
      <c r="AP5" s="48"/>
      <c r="AQ5" s="48"/>
      <c r="AR5" s="48"/>
      <c r="AS5" s="48">
        <f ca="1">AS7</f>
        <v>45859</v>
      </c>
      <c r="AT5" s="48"/>
      <c r="AU5" s="48"/>
      <c r="AV5" s="48"/>
      <c r="AW5" s="48"/>
      <c r="AX5" s="48"/>
      <c r="AY5" s="48"/>
      <c r="AZ5" s="48">
        <f ca="1">AZ7</f>
        <v>45866</v>
      </c>
      <c r="BA5" s="48"/>
      <c r="BB5" s="48"/>
      <c r="BC5" s="48"/>
      <c r="BD5" s="48"/>
      <c r="BE5" s="48"/>
      <c r="BF5" s="48"/>
      <c r="BG5" s="48">
        <f ca="1">BG7</f>
        <v>45873</v>
      </c>
      <c r="BH5" s="48"/>
      <c r="BI5" s="48"/>
      <c r="BJ5" s="48"/>
      <c r="BK5" s="48"/>
      <c r="BL5" s="48"/>
      <c r="BM5" s="49"/>
      <c r="BN5" s="48">
        <f ca="1">BN7</f>
        <v>45880</v>
      </c>
      <c r="BO5" s="48"/>
      <c r="BP5" s="48"/>
      <c r="BQ5" s="48"/>
      <c r="BR5" s="48"/>
      <c r="BS5" s="48"/>
      <c r="BT5" s="49"/>
      <c r="BU5" s="48">
        <f ca="1">BU7</f>
        <v>45887</v>
      </c>
      <c r="BV5" s="48"/>
      <c r="BW5" s="48"/>
      <c r="BX5" s="48"/>
      <c r="BY5" s="48"/>
      <c r="BZ5" s="48"/>
      <c r="CA5" s="49"/>
      <c r="CB5" s="48">
        <f ca="1">CB7</f>
        <v>45894</v>
      </c>
      <c r="CC5" s="48"/>
      <c r="CD5" s="48"/>
      <c r="CE5" s="48"/>
      <c r="CF5" s="48"/>
      <c r="CG5" s="48"/>
      <c r="CH5" s="49"/>
      <c r="CI5" s="48">
        <f ca="1">CI7</f>
        <v>45901</v>
      </c>
      <c r="CJ5" s="48"/>
      <c r="CK5" s="48"/>
      <c r="CL5" s="48"/>
      <c r="CM5" s="48"/>
      <c r="CN5" s="48"/>
      <c r="CO5" s="49"/>
      <c r="CP5" s="48">
        <f ca="1">CP7</f>
        <v>45908</v>
      </c>
      <c r="CQ5" s="48"/>
      <c r="CR5" s="48"/>
      <c r="CS5" s="48"/>
      <c r="CT5" s="48"/>
      <c r="CU5" s="48"/>
      <c r="CV5" s="49"/>
      <c r="CW5" s="48">
        <f ca="1">CW7</f>
        <v>45915</v>
      </c>
      <c r="CX5" s="48"/>
      <c r="CY5" s="48"/>
      <c r="CZ5" s="48"/>
      <c r="DA5" s="48"/>
      <c r="DB5" s="48"/>
      <c r="DC5" s="49"/>
      <c r="DD5" s="48">
        <f ca="1">DD7</f>
        <v>45922</v>
      </c>
      <c r="DE5" s="48"/>
      <c r="DF5" s="48"/>
      <c r="DG5" s="48"/>
      <c r="DH5" s="48"/>
      <c r="DI5" s="48"/>
      <c r="DJ5" s="49"/>
      <c r="DK5" s="48">
        <f ca="1">DK7</f>
        <v>45929</v>
      </c>
      <c r="DL5" s="48"/>
      <c r="DM5" s="48"/>
      <c r="DN5" s="48"/>
      <c r="DO5" s="48"/>
      <c r="DP5" s="48"/>
      <c r="DQ5" s="49"/>
      <c r="DR5" s="48">
        <f ca="1">DR7</f>
        <v>45936</v>
      </c>
      <c r="DS5" s="48"/>
      <c r="DT5" s="48"/>
      <c r="DU5" s="48"/>
      <c r="DV5" s="48"/>
      <c r="DW5" s="48"/>
      <c r="DX5" s="49"/>
      <c r="DY5" s="48">
        <f ca="1">DY7</f>
        <v>45943</v>
      </c>
      <c r="DZ5" s="48"/>
      <c r="EA5" s="48"/>
      <c r="EB5" s="48"/>
      <c r="EC5" s="48"/>
      <c r="ED5" s="48"/>
      <c r="EE5" s="49"/>
      <c r="EF5" s="48">
        <f ca="1">EF7</f>
        <v>45950</v>
      </c>
      <c r="EG5" s="48"/>
      <c r="EH5" s="48"/>
      <c r="EI5" s="48"/>
      <c r="EJ5" s="48"/>
      <c r="EK5" s="48"/>
      <c r="EL5" s="49"/>
      <c r="EM5" s="48">
        <f ca="1">EM7</f>
        <v>45957</v>
      </c>
      <c r="EN5" s="48"/>
      <c r="EO5" s="48"/>
      <c r="EP5" s="48"/>
      <c r="EQ5" s="48"/>
      <c r="ER5" s="48"/>
      <c r="ES5" s="49"/>
      <c r="ET5" s="48">
        <f ca="1">ET7</f>
        <v>45964</v>
      </c>
      <c r="EU5" s="48"/>
      <c r="EV5" s="48"/>
      <c r="EW5" s="48"/>
      <c r="EX5" s="48"/>
      <c r="EY5" s="48"/>
      <c r="EZ5" s="49"/>
      <c r="FA5" s="48">
        <f ca="1">FA7</f>
        <v>45971</v>
      </c>
      <c r="FB5" s="48"/>
      <c r="FC5" s="48"/>
      <c r="FD5" s="48"/>
      <c r="FE5" s="48"/>
      <c r="FF5" s="48"/>
      <c r="FG5" s="49"/>
      <c r="FH5" s="48">
        <f ca="1">FH7</f>
        <v>45978</v>
      </c>
      <c r="FI5" s="48"/>
      <c r="FJ5" s="48"/>
      <c r="FK5" s="48"/>
      <c r="FL5" s="48"/>
      <c r="FM5" s="48"/>
      <c r="FN5" s="49"/>
    </row>
    <row r="6" spans="1:170" ht="16.899999999999999" customHeight="1" x14ac:dyDescent="0.2">
      <c r="A6" s="13"/>
      <c r="B6" s="20" t="s">
        <v>4</v>
      </c>
      <c r="C6" s="21">
        <v>0</v>
      </c>
      <c r="D6" s="21"/>
      <c r="F6" s="22"/>
      <c r="J6" s="6"/>
      <c r="K6" s="6"/>
      <c r="L6" s="6"/>
      <c r="M6" s="6"/>
      <c r="N6" s="6"/>
      <c r="O6" s="6"/>
      <c r="P6" s="5"/>
      <c r="Q6" s="4"/>
      <c r="R6" s="6"/>
      <c r="S6" s="6"/>
      <c r="T6" s="6"/>
      <c r="U6" s="6"/>
      <c r="V6" s="6"/>
      <c r="W6" s="5"/>
      <c r="X6" s="4"/>
      <c r="Y6" s="6"/>
      <c r="Z6" s="6"/>
      <c r="AA6" s="6"/>
      <c r="AB6" s="6"/>
      <c r="AC6" s="6"/>
      <c r="AD6" s="5"/>
      <c r="AE6" s="4"/>
      <c r="AF6" s="6"/>
      <c r="AG6" s="6"/>
      <c r="AH6" s="6"/>
      <c r="AI6" s="6"/>
      <c r="AJ6" s="6"/>
      <c r="AK6" s="5"/>
      <c r="AL6" s="4"/>
      <c r="AM6" s="6"/>
      <c r="AN6" s="6"/>
      <c r="AO6" s="6"/>
      <c r="AP6" s="6"/>
      <c r="AQ6" s="6"/>
      <c r="AR6" s="5"/>
      <c r="AS6" s="4"/>
      <c r="AT6" s="6"/>
      <c r="AU6" s="6"/>
      <c r="AV6" s="6"/>
      <c r="AW6" s="6"/>
      <c r="AX6" s="6"/>
      <c r="AY6" s="5"/>
      <c r="AZ6" s="4"/>
      <c r="BA6" s="6"/>
      <c r="BB6" s="6"/>
      <c r="BC6" s="6"/>
      <c r="BD6" s="6"/>
      <c r="BE6" s="6"/>
      <c r="BF6" s="5"/>
      <c r="BG6" s="4"/>
      <c r="BH6" s="6"/>
      <c r="BI6" s="6"/>
      <c r="BJ6" s="6"/>
      <c r="BK6" s="6"/>
      <c r="BL6" s="6"/>
      <c r="BM6" s="6"/>
      <c r="BN6" s="4"/>
      <c r="BO6" s="6"/>
      <c r="BP6" s="6"/>
      <c r="BQ6" s="6"/>
      <c r="BR6" s="6"/>
      <c r="BS6" s="6"/>
      <c r="BT6" s="6"/>
      <c r="BU6" s="4"/>
      <c r="BV6" s="6"/>
      <c r="BW6" s="6"/>
      <c r="BX6" s="6"/>
      <c r="BY6" s="6"/>
      <c r="BZ6" s="6"/>
      <c r="CA6" s="6"/>
      <c r="CB6" s="4"/>
      <c r="CC6" s="6"/>
      <c r="CD6" s="6"/>
      <c r="CE6" s="6"/>
      <c r="CF6" s="6"/>
      <c r="CG6" s="6"/>
      <c r="CH6" s="6"/>
      <c r="CI6" s="4"/>
      <c r="CJ6" s="6"/>
      <c r="CK6" s="6"/>
      <c r="CL6" s="6"/>
      <c r="CM6" s="6"/>
      <c r="CN6" s="6"/>
      <c r="CO6" s="6"/>
      <c r="CP6" s="4"/>
      <c r="CQ6" s="6"/>
      <c r="CR6" s="6"/>
      <c r="CS6" s="6"/>
      <c r="CT6" s="6"/>
      <c r="CU6" s="6"/>
      <c r="CV6" s="6"/>
      <c r="CW6" s="4"/>
      <c r="CX6" s="6"/>
      <c r="CY6" s="6"/>
      <c r="CZ6" s="6"/>
      <c r="DA6" s="6"/>
      <c r="DB6" s="6"/>
      <c r="DC6" s="6"/>
      <c r="DD6" s="4"/>
      <c r="DE6" s="6"/>
      <c r="DF6" s="6"/>
      <c r="DG6" s="6"/>
      <c r="DH6" s="6"/>
      <c r="DI6" s="6"/>
      <c r="DJ6" s="6"/>
      <c r="DK6" s="4"/>
      <c r="DL6" s="6"/>
      <c r="DM6" s="6"/>
      <c r="DN6" s="6"/>
      <c r="DO6" s="6"/>
      <c r="DP6" s="6"/>
      <c r="DQ6" s="6"/>
      <c r="DR6" s="4"/>
      <c r="DS6" s="6"/>
      <c r="DT6" s="6"/>
      <c r="DU6" s="6"/>
      <c r="DV6" s="6"/>
      <c r="DW6" s="6"/>
      <c r="DX6" s="6"/>
      <c r="DY6" s="4"/>
      <c r="DZ6" s="6"/>
      <c r="EA6" s="6"/>
      <c r="EB6" s="6"/>
      <c r="EC6" s="6"/>
      <c r="ED6" s="6"/>
      <c r="EE6" s="6"/>
      <c r="EF6" s="4"/>
      <c r="EG6" s="6"/>
      <c r="EH6" s="6"/>
      <c r="EI6" s="6"/>
      <c r="EJ6" s="6"/>
      <c r="EK6" s="6"/>
      <c r="EL6" s="6"/>
      <c r="EM6" s="4"/>
      <c r="EN6" s="6"/>
      <c r="EO6" s="6"/>
      <c r="EP6" s="6"/>
      <c r="EQ6" s="6"/>
      <c r="ER6" s="6"/>
      <c r="ES6" s="6"/>
      <c r="ET6" s="4"/>
      <c r="EU6" s="6"/>
      <c r="EV6" s="6"/>
      <c r="EW6" s="6"/>
      <c r="EX6" s="6"/>
      <c r="EY6" s="6"/>
      <c r="EZ6" s="6"/>
      <c r="FA6" s="4"/>
      <c r="FB6" s="6"/>
      <c r="FC6" s="6"/>
      <c r="FD6" s="6"/>
      <c r="FE6" s="6"/>
      <c r="FF6" s="6"/>
      <c r="FG6" s="6"/>
      <c r="FH6" s="4"/>
      <c r="FI6" s="6"/>
      <c r="FJ6" s="6"/>
      <c r="FK6" s="6"/>
      <c r="FL6" s="6"/>
      <c r="FM6" s="6"/>
      <c r="FN6" s="6"/>
    </row>
    <row r="7" spans="1:170" ht="15" customHeight="1" x14ac:dyDescent="0.2">
      <c r="A7" s="50"/>
      <c r="B7" s="51" t="s">
        <v>5</v>
      </c>
      <c r="C7" s="53" t="s">
        <v>6</v>
      </c>
      <c r="D7" s="53" t="s">
        <v>7</v>
      </c>
      <c r="E7" s="55" t="s">
        <v>8</v>
      </c>
      <c r="F7" s="55" t="s">
        <v>9</v>
      </c>
      <c r="G7" s="55" t="s">
        <v>10</v>
      </c>
      <c r="J7" s="7">
        <f ca="1">Project_Start-WEEKDAY(Project_Start,1)+2+7*(Display_Week-1)</f>
        <v>45824</v>
      </c>
      <c r="K7" s="7">
        <f ca="1">J7+1</f>
        <v>45825</v>
      </c>
      <c r="L7" s="7">
        <f t="shared" ref="L7:AY7" ca="1" si="0">K7+1</f>
        <v>45826</v>
      </c>
      <c r="M7" s="7">
        <f t="shared" ca="1" si="0"/>
        <v>45827</v>
      </c>
      <c r="N7" s="7">
        <f t="shared" ca="1" si="0"/>
        <v>45828</v>
      </c>
      <c r="O7" s="7">
        <f t="shared" ca="1" si="0"/>
        <v>45829</v>
      </c>
      <c r="P7" s="8">
        <f t="shared" ca="1" si="0"/>
        <v>45830</v>
      </c>
      <c r="Q7" s="9">
        <f ca="1">P7+1</f>
        <v>45831</v>
      </c>
      <c r="R7" s="7">
        <f ca="1">Q7+1</f>
        <v>45832</v>
      </c>
      <c r="S7" s="7">
        <f t="shared" ca="1" si="0"/>
        <v>45833</v>
      </c>
      <c r="T7" s="7">
        <f t="shared" ca="1" si="0"/>
        <v>45834</v>
      </c>
      <c r="U7" s="7">
        <f t="shared" ca="1" si="0"/>
        <v>45835</v>
      </c>
      <c r="V7" s="7">
        <f t="shared" ca="1" si="0"/>
        <v>45836</v>
      </c>
      <c r="W7" s="8">
        <f t="shared" ca="1" si="0"/>
        <v>45837</v>
      </c>
      <c r="X7" s="9">
        <f ca="1">W7+1</f>
        <v>45838</v>
      </c>
      <c r="Y7" s="7">
        <f ca="1">X7+1</f>
        <v>45839</v>
      </c>
      <c r="Z7" s="7">
        <f t="shared" ca="1" si="0"/>
        <v>45840</v>
      </c>
      <c r="AA7" s="7">
        <f t="shared" ca="1" si="0"/>
        <v>45841</v>
      </c>
      <c r="AB7" s="7">
        <f t="shared" ca="1" si="0"/>
        <v>45842</v>
      </c>
      <c r="AC7" s="7">
        <f t="shared" ca="1" si="0"/>
        <v>45843</v>
      </c>
      <c r="AD7" s="8">
        <f t="shared" ca="1" si="0"/>
        <v>45844</v>
      </c>
      <c r="AE7" s="9">
        <f ca="1">AD7+1</f>
        <v>45845</v>
      </c>
      <c r="AF7" s="7">
        <f ca="1">AE7+1</f>
        <v>45846</v>
      </c>
      <c r="AG7" s="7">
        <f t="shared" ca="1" si="0"/>
        <v>45847</v>
      </c>
      <c r="AH7" s="7">
        <f t="shared" ca="1" si="0"/>
        <v>45848</v>
      </c>
      <c r="AI7" s="7">
        <f t="shared" ca="1" si="0"/>
        <v>45849</v>
      </c>
      <c r="AJ7" s="7">
        <f t="shared" ca="1" si="0"/>
        <v>45850</v>
      </c>
      <c r="AK7" s="8">
        <f t="shared" ca="1" si="0"/>
        <v>45851</v>
      </c>
      <c r="AL7" s="9">
        <f ca="1">AK7+1</f>
        <v>45852</v>
      </c>
      <c r="AM7" s="7">
        <f ca="1">AL7+1</f>
        <v>45853</v>
      </c>
      <c r="AN7" s="7">
        <f t="shared" ca="1" si="0"/>
        <v>45854</v>
      </c>
      <c r="AO7" s="7">
        <f t="shared" ca="1" si="0"/>
        <v>45855</v>
      </c>
      <c r="AP7" s="7">
        <f t="shared" ca="1" si="0"/>
        <v>45856</v>
      </c>
      <c r="AQ7" s="7">
        <f t="shared" ca="1" si="0"/>
        <v>45857</v>
      </c>
      <c r="AR7" s="8">
        <f t="shared" ca="1" si="0"/>
        <v>45858</v>
      </c>
      <c r="AS7" s="9">
        <f ca="1">AR7+1</f>
        <v>45859</v>
      </c>
      <c r="AT7" s="7">
        <f ca="1">AS7+1</f>
        <v>45860</v>
      </c>
      <c r="AU7" s="7">
        <f t="shared" ca="1" si="0"/>
        <v>45861</v>
      </c>
      <c r="AV7" s="7">
        <f t="shared" ca="1" si="0"/>
        <v>45862</v>
      </c>
      <c r="AW7" s="7">
        <f t="shared" ca="1" si="0"/>
        <v>45863</v>
      </c>
      <c r="AX7" s="7">
        <f t="shared" ca="1" si="0"/>
        <v>45864</v>
      </c>
      <c r="AY7" s="8">
        <f t="shared" ca="1" si="0"/>
        <v>45865</v>
      </c>
      <c r="AZ7" s="9">
        <f ca="1">AY7+1</f>
        <v>45866</v>
      </c>
      <c r="BA7" s="7">
        <f ca="1">AZ7+1</f>
        <v>45867</v>
      </c>
      <c r="BB7" s="7">
        <f t="shared" ref="BB7:BF7" ca="1" si="1">BA7+1</f>
        <v>45868</v>
      </c>
      <c r="BC7" s="7">
        <f t="shared" ca="1" si="1"/>
        <v>45869</v>
      </c>
      <c r="BD7" s="7">
        <f t="shared" ca="1" si="1"/>
        <v>45870</v>
      </c>
      <c r="BE7" s="7">
        <f t="shared" ca="1" si="1"/>
        <v>45871</v>
      </c>
      <c r="BF7" s="8">
        <f t="shared" ca="1" si="1"/>
        <v>45872</v>
      </c>
      <c r="BG7" s="9">
        <f ca="1">BF7+1</f>
        <v>45873</v>
      </c>
      <c r="BH7" s="7">
        <f ca="1">BG7+1</f>
        <v>45874</v>
      </c>
      <c r="BI7" s="7">
        <f t="shared" ref="BI7:BM7" ca="1" si="2">BH7+1</f>
        <v>45875</v>
      </c>
      <c r="BJ7" s="7">
        <f t="shared" ca="1" si="2"/>
        <v>45876</v>
      </c>
      <c r="BK7" s="7">
        <f t="shared" ca="1" si="2"/>
        <v>45877</v>
      </c>
      <c r="BL7" s="7">
        <f t="shared" ca="1" si="2"/>
        <v>45878</v>
      </c>
      <c r="BM7" s="7">
        <f t="shared" ca="1" si="2"/>
        <v>45879</v>
      </c>
      <c r="BN7" s="9">
        <f ca="1">BM7+1</f>
        <v>45880</v>
      </c>
      <c r="BO7" s="7">
        <f ca="1">BN7+1</f>
        <v>45881</v>
      </c>
      <c r="BP7" s="7">
        <f t="shared" ref="BP7" ca="1" si="3">BO7+1</f>
        <v>45882</v>
      </c>
      <c r="BQ7" s="7">
        <f t="shared" ref="BQ7" ca="1" si="4">BP7+1</f>
        <v>45883</v>
      </c>
      <c r="BR7" s="7">
        <f t="shared" ref="BR7" ca="1" si="5">BQ7+1</f>
        <v>45884</v>
      </c>
      <c r="BS7" s="7">
        <f t="shared" ref="BS7" ca="1" si="6">BR7+1</f>
        <v>45885</v>
      </c>
      <c r="BT7" s="7">
        <f t="shared" ref="BT7" ca="1" si="7">BS7+1</f>
        <v>45886</v>
      </c>
      <c r="BU7" s="9">
        <f ca="1">BT7+1</f>
        <v>45887</v>
      </c>
      <c r="BV7" s="7">
        <f ca="1">BU7+1</f>
        <v>45888</v>
      </c>
      <c r="BW7" s="7">
        <f t="shared" ref="BW7" ca="1" si="8">BV7+1</f>
        <v>45889</v>
      </c>
      <c r="BX7" s="7">
        <f t="shared" ref="BX7" ca="1" si="9">BW7+1</f>
        <v>45890</v>
      </c>
      <c r="BY7" s="7">
        <f t="shared" ref="BY7" ca="1" si="10">BX7+1</f>
        <v>45891</v>
      </c>
      <c r="BZ7" s="7">
        <f t="shared" ref="BZ7" ca="1" si="11">BY7+1</f>
        <v>45892</v>
      </c>
      <c r="CA7" s="7">
        <f t="shared" ref="CA7" ca="1" si="12">BZ7+1</f>
        <v>45893</v>
      </c>
      <c r="CB7" s="9">
        <f ca="1">CA7+1</f>
        <v>45894</v>
      </c>
      <c r="CC7" s="7">
        <f ca="1">CB7+1</f>
        <v>45895</v>
      </c>
      <c r="CD7" s="7">
        <f t="shared" ref="CD7" ca="1" si="13">CC7+1</f>
        <v>45896</v>
      </c>
      <c r="CE7" s="7">
        <f t="shared" ref="CE7" ca="1" si="14">CD7+1</f>
        <v>45897</v>
      </c>
      <c r="CF7" s="7">
        <f t="shared" ref="CF7" ca="1" si="15">CE7+1</f>
        <v>45898</v>
      </c>
      <c r="CG7" s="7">
        <f t="shared" ref="CG7" ca="1" si="16">CF7+1</f>
        <v>45899</v>
      </c>
      <c r="CH7" s="7">
        <f t="shared" ref="CH7" ca="1" si="17">CG7+1</f>
        <v>45900</v>
      </c>
      <c r="CI7" s="9">
        <f ca="1">CH7+1</f>
        <v>45901</v>
      </c>
      <c r="CJ7" s="7">
        <f ca="1">CI7+1</f>
        <v>45902</v>
      </c>
      <c r="CK7" s="7">
        <f t="shared" ref="CK7" ca="1" si="18">CJ7+1</f>
        <v>45903</v>
      </c>
      <c r="CL7" s="7">
        <f t="shared" ref="CL7" ca="1" si="19">CK7+1</f>
        <v>45904</v>
      </c>
      <c r="CM7" s="7">
        <f t="shared" ref="CM7" ca="1" si="20">CL7+1</f>
        <v>45905</v>
      </c>
      <c r="CN7" s="7">
        <f t="shared" ref="CN7" ca="1" si="21">CM7+1</f>
        <v>45906</v>
      </c>
      <c r="CO7" s="7">
        <f t="shared" ref="CO7" ca="1" si="22">CN7+1</f>
        <v>45907</v>
      </c>
      <c r="CP7" s="9">
        <f ca="1">CO7+1</f>
        <v>45908</v>
      </c>
      <c r="CQ7" s="7">
        <f ca="1">CP7+1</f>
        <v>45909</v>
      </c>
      <c r="CR7" s="7">
        <f t="shared" ref="CR7" ca="1" si="23">CQ7+1</f>
        <v>45910</v>
      </c>
      <c r="CS7" s="7">
        <f t="shared" ref="CS7" ca="1" si="24">CR7+1</f>
        <v>45911</v>
      </c>
      <c r="CT7" s="7">
        <f t="shared" ref="CT7" ca="1" si="25">CS7+1</f>
        <v>45912</v>
      </c>
      <c r="CU7" s="7">
        <f t="shared" ref="CU7" ca="1" si="26">CT7+1</f>
        <v>45913</v>
      </c>
      <c r="CV7" s="7">
        <f t="shared" ref="CV7" ca="1" si="27">CU7+1</f>
        <v>45914</v>
      </c>
      <c r="CW7" s="9">
        <f ca="1">CV7+1</f>
        <v>45915</v>
      </c>
      <c r="CX7" s="7">
        <f ca="1">CW7+1</f>
        <v>45916</v>
      </c>
      <c r="CY7" s="7">
        <f t="shared" ref="CY7" ca="1" si="28">CX7+1</f>
        <v>45917</v>
      </c>
      <c r="CZ7" s="7">
        <f t="shared" ref="CZ7" ca="1" si="29">CY7+1</f>
        <v>45918</v>
      </c>
      <c r="DA7" s="7">
        <f t="shared" ref="DA7" ca="1" si="30">CZ7+1</f>
        <v>45919</v>
      </c>
      <c r="DB7" s="7">
        <f t="shared" ref="DB7" ca="1" si="31">DA7+1</f>
        <v>45920</v>
      </c>
      <c r="DC7" s="7">
        <f t="shared" ref="DC7" ca="1" si="32">DB7+1</f>
        <v>45921</v>
      </c>
      <c r="DD7" s="9">
        <f ca="1">DC7+1</f>
        <v>45922</v>
      </c>
      <c r="DE7" s="7">
        <f ca="1">DD7+1</f>
        <v>45923</v>
      </c>
      <c r="DF7" s="7">
        <f t="shared" ref="DF7" ca="1" si="33">DE7+1</f>
        <v>45924</v>
      </c>
      <c r="DG7" s="7">
        <f t="shared" ref="DG7" ca="1" si="34">DF7+1</f>
        <v>45925</v>
      </c>
      <c r="DH7" s="7">
        <f t="shared" ref="DH7" ca="1" si="35">DG7+1</f>
        <v>45926</v>
      </c>
      <c r="DI7" s="7">
        <f t="shared" ref="DI7" ca="1" si="36">DH7+1</f>
        <v>45927</v>
      </c>
      <c r="DJ7" s="7">
        <f t="shared" ref="DJ7" ca="1" si="37">DI7+1</f>
        <v>45928</v>
      </c>
      <c r="DK7" s="9">
        <f ca="1">DJ7+1</f>
        <v>45929</v>
      </c>
      <c r="DL7" s="7">
        <f ca="1">DK7+1</f>
        <v>45930</v>
      </c>
      <c r="DM7" s="7">
        <f t="shared" ref="DM7" ca="1" si="38">DL7+1</f>
        <v>45931</v>
      </c>
      <c r="DN7" s="7">
        <f t="shared" ref="DN7" ca="1" si="39">DM7+1</f>
        <v>45932</v>
      </c>
      <c r="DO7" s="7">
        <f t="shared" ref="DO7" ca="1" si="40">DN7+1</f>
        <v>45933</v>
      </c>
      <c r="DP7" s="7">
        <f t="shared" ref="DP7" ca="1" si="41">DO7+1</f>
        <v>45934</v>
      </c>
      <c r="DQ7" s="7">
        <f t="shared" ref="DQ7" ca="1" si="42">DP7+1</f>
        <v>45935</v>
      </c>
      <c r="DR7" s="9">
        <f ca="1">DQ7+1</f>
        <v>45936</v>
      </c>
      <c r="DS7" s="7">
        <f ca="1">DR7+1</f>
        <v>45937</v>
      </c>
      <c r="DT7" s="7">
        <f t="shared" ref="DT7" ca="1" si="43">DS7+1</f>
        <v>45938</v>
      </c>
      <c r="DU7" s="7">
        <f t="shared" ref="DU7" ca="1" si="44">DT7+1</f>
        <v>45939</v>
      </c>
      <c r="DV7" s="7">
        <f t="shared" ref="DV7" ca="1" si="45">DU7+1</f>
        <v>45940</v>
      </c>
      <c r="DW7" s="7">
        <f t="shared" ref="DW7" ca="1" si="46">DV7+1</f>
        <v>45941</v>
      </c>
      <c r="DX7" s="7">
        <f t="shared" ref="DX7" ca="1" si="47">DW7+1</f>
        <v>45942</v>
      </c>
      <c r="DY7" s="9">
        <f ca="1">DX7+1</f>
        <v>45943</v>
      </c>
      <c r="DZ7" s="7">
        <f ca="1">DY7+1</f>
        <v>45944</v>
      </c>
      <c r="EA7" s="7">
        <f t="shared" ref="EA7" ca="1" si="48">DZ7+1</f>
        <v>45945</v>
      </c>
      <c r="EB7" s="7">
        <f t="shared" ref="EB7" ca="1" si="49">EA7+1</f>
        <v>45946</v>
      </c>
      <c r="EC7" s="7">
        <f t="shared" ref="EC7" ca="1" si="50">EB7+1</f>
        <v>45947</v>
      </c>
      <c r="ED7" s="7">
        <f t="shared" ref="ED7" ca="1" si="51">EC7+1</f>
        <v>45948</v>
      </c>
      <c r="EE7" s="7">
        <f t="shared" ref="EE7" ca="1" si="52">ED7+1</f>
        <v>45949</v>
      </c>
      <c r="EF7" s="9">
        <f ca="1">EE7+1</f>
        <v>45950</v>
      </c>
      <c r="EG7" s="7">
        <f ca="1">EF7+1</f>
        <v>45951</v>
      </c>
      <c r="EH7" s="7">
        <f t="shared" ref="EH7" ca="1" si="53">EG7+1</f>
        <v>45952</v>
      </c>
      <c r="EI7" s="7">
        <f t="shared" ref="EI7" ca="1" si="54">EH7+1</f>
        <v>45953</v>
      </c>
      <c r="EJ7" s="7">
        <f t="shared" ref="EJ7" ca="1" si="55">EI7+1</f>
        <v>45954</v>
      </c>
      <c r="EK7" s="7">
        <f t="shared" ref="EK7" ca="1" si="56">EJ7+1</f>
        <v>45955</v>
      </c>
      <c r="EL7" s="7">
        <f t="shared" ref="EL7" ca="1" si="57">EK7+1</f>
        <v>45956</v>
      </c>
      <c r="EM7" s="9">
        <f ca="1">EL7+1</f>
        <v>45957</v>
      </c>
      <c r="EN7" s="7">
        <f ca="1">EM7+1</f>
        <v>45958</v>
      </c>
      <c r="EO7" s="7">
        <f t="shared" ref="EO7" ca="1" si="58">EN7+1</f>
        <v>45959</v>
      </c>
      <c r="EP7" s="7">
        <f t="shared" ref="EP7" ca="1" si="59">EO7+1</f>
        <v>45960</v>
      </c>
      <c r="EQ7" s="7">
        <f t="shared" ref="EQ7" ca="1" si="60">EP7+1</f>
        <v>45961</v>
      </c>
      <c r="ER7" s="7">
        <f t="shared" ref="ER7" ca="1" si="61">EQ7+1</f>
        <v>45962</v>
      </c>
      <c r="ES7" s="7">
        <f t="shared" ref="ES7" ca="1" si="62">ER7+1</f>
        <v>45963</v>
      </c>
      <c r="ET7" s="9">
        <f ca="1">ES7+1</f>
        <v>45964</v>
      </c>
      <c r="EU7" s="7">
        <f ca="1">ET7+1</f>
        <v>45965</v>
      </c>
      <c r="EV7" s="7">
        <f t="shared" ref="EV7" ca="1" si="63">EU7+1</f>
        <v>45966</v>
      </c>
      <c r="EW7" s="7">
        <f t="shared" ref="EW7" ca="1" si="64">EV7+1</f>
        <v>45967</v>
      </c>
      <c r="EX7" s="7">
        <f t="shared" ref="EX7" ca="1" si="65">EW7+1</f>
        <v>45968</v>
      </c>
      <c r="EY7" s="7">
        <f t="shared" ref="EY7" ca="1" si="66">EX7+1</f>
        <v>45969</v>
      </c>
      <c r="EZ7" s="7">
        <f t="shared" ref="EZ7" ca="1" si="67">EY7+1</f>
        <v>45970</v>
      </c>
      <c r="FA7" s="9">
        <f ca="1">EZ7+1</f>
        <v>45971</v>
      </c>
      <c r="FB7" s="7">
        <f ca="1">FA7+1</f>
        <v>45972</v>
      </c>
      <c r="FC7" s="7">
        <f t="shared" ref="FC7" ca="1" si="68">FB7+1</f>
        <v>45973</v>
      </c>
      <c r="FD7" s="7">
        <f t="shared" ref="FD7" ca="1" si="69">FC7+1</f>
        <v>45974</v>
      </c>
      <c r="FE7" s="7">
        <f t="shared" ref="FE7" ca="1" si="70">FD7+1</f>
        <v>45975</v>
      </c>
      <c r="FF7" s="7">
        <f t="shared" ref="FF7" ca="1" si="71">FE7+1</f>
        <v>45976</v>
      </c>
      <c r="FG7" s="7">
        <f t="shared" ref="FG7" ca="1" si="72">FF7+1</f>
        <v>45977</v>
      </c>
      <c r="FH7" s="9">
        <f ca="1">FG7+1</f>
        <v>45978</v>
      </c>
      <c r="FI7" s="7">
        <f ca="1">FH7+1</f>
        <v>45979</v>
      </c>
      <c r="FJ7" s="7">
        <f t="shared" ref="FJ7" ca="1" si="73">FI7+1</f>
        <v>45980</v>
      </c>
      <c r="FK7" s="7">
        <f t="shared" ref="FK7" ca="1" si="74">FJ7+1</f>
        <v>45981</v>
      </c>
      <c r="FL7" s="7">
        <f t="shared" ref="FL7" ca="1" si="75">FK7+1</f>
        <v>45982</v>
      </c>
      <c r="FM7" s="7">
        <f t="shared" ref="FM7" ca="1" si="76">FL7+1</f>
        <v>45983</v>
      </c>
      <c r="FN7" s="7">
        <f t="shared" ref="FN7" ca="1" si="77">FM7+1</f>
        <v>45984</v>
      </c>
    </row>
    <row r="8" spans="1:170" ht="15" customHeight="1" thickBot="1" x14ac:dyDescent="0.25">
      <c r="A8" s="50"/>
      <c r="B8" s="52"/>
      <c r="C8" s="54"/>
      <c r="D8" s="54"/>
      <c r="E8" s="54"/>
      <c r="F8" s="54"/>
      <c r="G8" s="54"/>
      <c r="J8" s="10" t="str">
        <f t="shared" ref="J8:AO8" ca="1" si="78">LEFT(TEXT(J7,"ddd"),1)</f>
        <v>M</v>
      </c>
      <c r="K8" s="11" t="str">
        <f t="shared" ca="1" si="78"/>
        <v>T</v>
      </c>
      <c r="L8" s="11" t="str">
        <f t="shared" ca="1" si="78"/>
        <v>W</v>
      </c>
      <c r="M8" s="11" t="str">
        <f t="shared" ca="1" si="78"/>
        <v>T</v>
      </c>
      <c r="N8" s="11" t="str">
        <f t="shared" ca="1" si="78"/>
        <v>F</v>
      </c>
      <c r="O8" s="11" t="str">
        <f t="shared" ca="1" si="78"/>
        <v>S</v>
      </c>
      <c r="P8" s="11" t="str">
        <f t="shared" ca="1" si="78"/>
        <v>S</v>
      </c>
      <c r="Q8" s="11" t="str">
        <f t="shared" ca="1" si="78"/>
        <v>M</v>
      </c>
      <c r="R8" s="11" t="str">
        <f t="shared" ca="1" si="78"/>
        <v>T</v>
      </c>
      <c r="S8" s="11" t="str">
        <f t="shared" ca="1" si="78"/>
        <v>W</v>
      </c>
      <c r="T8" s="11" t="str">
        <f t="shared" ca="1" si="78"/>
        <v>T</v>
      </c>
      <c r="U8" s="11" t="str">
        <f t="shared" ca="1" si="78"/>
        <v>F</v>
      </c>
      <c r="V8" s="11" t="str">
        <f t="shared" ca="1" si="78"/>
        <v>S</v>
      </c>
      <c r="W8" s="11" t="str">
        <f t="shared" ca="1" si="78"/>
        <v>S</v>
      </c>
      <c r="X8" s="11" t="str">
        <f t="shared" ca="1" si="78"/>
        <v>M</v>
      </c>
      <c r="Y8" s="11" t="str">
        <f t="shared" ca="1" si="78"/>
        <v>T</v>
      </c>
      <c r="Z8" s="11" t="str">
        <f t="shared" ca="1" si="78"/>
        <v>W</v>
      </c>
      <c r="AA8" s="11" t="str">
        <f t="shared" ca="1" si="78"/>
        <v>T</v>
      </c>
      <c r="AB8" s="11" t="str">
        <f t="shared" ca="1" si="78"/>
        <v>F</v>
      </c>
      <c r="AC8" s="11" t="str">
        <f t="shared" ca="1" si="78"/>
        <v>S</v>
      </c>
      <c r="AD8" s="11" t="str">
        <f t="shared" ca="1" si="78"/>
        <v>S</v>
      </c>
      <c r="AE8" s="11" t="str">
        <f t="shared" ca="1" si="78"/>
        <v>M</v>
      </c>
      <c r="AF8" s="11" t="str">
        <f t="shared" ca="1" si="78"/>
        <v>T</v>
      </c>
      <c r="AG8" s="11" t="str">
        <f t="shared" ca="1" si="78"/>
        <v>W</v>
      </c>
      <c r="AH8" s="11" t="str">
        <f t="shared" ca="1" si="78"/>
        <v>T</v>
      </c>
      <c r="AI8" s="11" t="str">
        <f t="shared" ca="1" si="78"/>
        <v>F</v>
      </c>
      <c r="AJ8" s="11" t="str">
        <f t="shared" ca="1" si="78"/>
        <v>S</v>
      </c>
      <c r="AK8" s="11" t="str">
        <f t="shared" ca="1" si="78"/>
        <v>S</v>
      </c>
      <c r="AL8" s="11" t="str">
        <f t="shared" ca="1" si="78"/>
        <v>M</v>
      </c>
      <c r="AM8" s="11" t="str">
        <f t="shared" ca="1" si="78"/>
        <v>T</v>
      </c>
      <c r="AN8" s="11" t="str">
        <f t="shared" ca="1" si="78"/>
        <v>W</v>
      </c>
      <c r="AO8" s="11" t="str">
        <f t="shared" ca="1" si="78"/>
        <v>T</v>
      </c>
      <c r="AP8" s="11" t="str">
        <f t="shared" ref="AP8:BM8" ca="1" si="79">LEFT(TEXT(AP7,"ddd"),1)</f>
        <v>F</v>
      </c>
      <c r="AQ8" s="11" t="str">
        <f t="shared" ca="1" si="79"/>
        <v>S</v>
      </c>
      <c r="AR8" s="11" t="str">
        <f t="shared" ca="1" si="79"/>
        <v>S</v>
      </c>
      <c r="AS8" s="11" t="str">
        <f t="shared" ca="1" si="79"/>
        <v>M</v>
      </c>
      <c r="AT8" s="11" t="str">
        <f t="shared" ca="1" si="79"/>
        <v>T</v>
      </c>
      <c r="AU8" s="11" t="str">
        <f t="shared" ca="1" si="79"/>
        <v>W</v>
      </c>
      <c r="AV8" s="11" t="str">
        <f t="shared" ca="1" si="79"/>
        <v>T</v>
      </c>
      <c r="AW8" s="11" t="str">
        <f t="shared" ca="1" si="79"/>
        <v>F</v>
      </c>
      <c r="AX8" s="11" t="str">
        <f t="shared" ca="1" si="79"/>
        <v>S</v>
      </c>
      <c r="AY8" s="11" t="str">
        <f t="shared" ca="1" si="79"/>
        <v>S</v>
      </c>
      <c r="AZ8" s="11" t="str">
        <f t="shared" ca="1" si="79"/>
        <v>M</v>
      </c>
      <c r="BA8" s="11" t="str">
        <f t="shared" ca="1" si="79"/>
        <v>T</v>
      </c>
      <c r="BB8" s="11" t="str">
        <f t="shared" ca="1" si="79"/>
        <v>W</v>
      </c>
      <c r="BC8" s="11" t="str">
        <f t="shared" ca="1" si="79"/>
        <v>T</v>
      </c>
      <c r="BD8" s="11" t="str">
        <f t="shared" ca="1" si="79"/>
        <v>F</v>
      </c>
      <c r="BE8" s="11" t="str">
        <f t="shared" ca="1" si="79"/>
        <v>S</v>
      </c>
      <c r="BF8" s="11" t="str">
        <f t="shared" ca="1" si="79"/>
        <v>S</v>
      </c>
      <c r="BG8" s="11" t="str">
        <f t="shared" ca="1" si="79"/>
        <v>M</v>
      </c>
      <c r="BH8" s="11" t="str">
        <f t="shared" ca="1" si="79"/>
        <v>T</v>
      </c>
      <c r="BI8" s="11" t="str">
        <f t="shared" ca="1" si="79"/>
        <v>W</v>
      </c>
      <c r="BJ8" s="11" t="str">
        <f t="shared" ca="1" si="79"/>
        <v>T</v>
      </c>
      <c r="BK8" s="11" t="str">
        <f t="shared" ca="1" si="79"/>
        <v>F</v>
      </c>
      <c r="BL8" s="11" t="str">
        <f t="shared" ca="1" si="79"/>
        <v>S</v>
      </c>
      <c r="BM8" s="12" t="str">
        <f t="shared" ca="1" si="79"/>
        <v>S</v>
      </c>
      <c r="BN8" s="11" t="str">
        <f t="shared" ref="BN8:CA8" ca="1" si="80">LEFT(TEXT(BN7,"ddd"),1)</f>
        <v>M</v>
      </c>
      <c r="BO8" s="11" t="str">
        <f t="shared" ca="1" si="80"/>
        <v>T</v>
      </c>
      <c r="BP8" s="11" t="str">
        <f t="shared" ca="1" si="80"/>
        <v>W</v>
      </c>
      <c r="BQ8" s="11" t="str">
        <f t="shared" ca="1" si="80"/>
        <v>T</v>
      </c>
      <c r="BR8" s="11" t="str">
        <f t="shared" ca="1" si="80"/>
        <v>F</v>
      </c>
      <c r="BS8" s="11" t="str">
        <f t="shared" ca="1" si="80"/>
        <v>S</v>
      </c>
      <c r="BT8" s="12" t="str">
        <f t="shared" ca="1" si="80"/>
        <v>S</v>
      </c>
      <c r="BU8" s="11" t="str">
        <f t="shared" ca="1" si="80"/>
        <v>M</v>
      </c>
      <c r="BV8" s="11" t="str">
        <f t="shared" ca="1" si="80"/>
        <v>T</v>
      </c>
      <c r="BW8" s="11" t="str">
        <f t="shared" ca="1" si="80"/>
        <v>W</v>
      </c>
      <c r="BX8" s="11" t="str">
        <f t="shared" ca="1" si="80"/>
        <v>T</v>
      </c>
      <c r="BY8" s="11" t="str">
        <f t="shared" ca="1" si="80"/>
        <v>F</v>
      </c>
      <c r="BZ8" s="11" t="str">
        <f t="shared" ca="1" si="80"/>
        <v>S</v>
      </c>
      <c r="CA8" s="12" t="str">
        <f t="shared" ca="1" si="80"/>
        <v>S</v>
      </c>
      <c r="CB8" s="11" t="str">
        <f t="shared" ref="CB8:DC8" ca="1" si="81">LEFT(TEXT(CB7,"ddd"),1)</f>
        <v>M</v>
      </c>
      <c r="CC8" s="11" t="str">
        <f t="shared" ca="1" si="81"/>
        <v>T</v>
      </c>
      <c r="CD8" s="11" t="str">
        <f t="shared" ca="1" si="81"/>
        <v>W</v>
      </c>
      <c r="CE8" s="11" t="str">
        <f t="shared" ca="1" si="81"/>
        <v>T</v>
      </c>
      <c r="CF8" s="11" t="str">
        <f t="shared" ca="1" si="81"/>
        <v>F</v>
      </c>
      <c r="CG8" s="11" t="str">
        <f t="shared" ca="1" si="81"/>
        <v>S</v>
      </c>
      <c r="CH8" s="12" t="str">
        <f t="shared" ca="1" si="81"/>
        <v>S</v>
      </c>
      <c r="CI8" s="11" t="str">
        <f t="shared" ca="1" si="81"/>
        <v>M</v>
      </c>
      <c r="CJ8" s="11" t="str">
        <f t="shared" ca="1" si="81"/>
        <v>T</v>
      </c>
      <c r="CK8" s="11" t="str">
        <f t="shared" ca="1" si="81"/>
        <v>W</v>
      </c>
      <c r="CL8" s="11" t="str">
        <f t="shared" ca="1" si="81"/>
        <v>T</v>
      </c>
      <c r="CM8" s="11" t="str">
        <f t="shared" ca="1" si="81"/>
        <v>F</v>
      </c>
      <c r="CN8" s="11" t="str">
        <f t="shared" ca="1" si="81"/>
        <v>S</v>
      </c>
      <c r="CO8" s="12" t="str">
        <f t="shared" ca="1" si="81"/>
        <v>S</v>
      </c>
      <c r="CP8" s="11" t="str">
        <f t="shared" ca="1" si="81"/>
        <v>M</v>
      </c>
      <c r="CQ8" s="11" t="str">
        <f t="shared" ca="1" si="81"/>
        <v>T</v>
      </c>
      <c r="CR8" s="11" t="str">
        <f t="shared" ca="1" si="81"/>
        <v>W</v>
      </c>
      <c r="CS8" s="11" t="str">
        <f t="shared" ca="1" si="81"/>
        <v>T</v>
      </c>
      <c r="CT8" s="11" t="str">
        <f t="shared" ca="1" si="81"/>
        <v>F</v>
      </c>
      <c r="CU8" s="11" t="str">
        <f t="shared" ca="1" si="81"/>
        <v>S</v>
      </c>
      <c r="CV8" s="12" t="str">
        <f t="shared" ca="1" si="81"/>
        <v>S</v>
      </c>
      <c r="CW8" s="11" t="str">
        <f t="shared" ca="1" si="81"/>
        <v>M</v>
      </c>
      <c r="CX8" s="11" t="str">
        <f t="shared" ca="1" si="81"/>
        <v>T</v>
      </c>
      <c r="CY8" s="11" t="str">
        <f t="shared" ca="1" si="81"/>
        <v>W</v>
      </c>
      <c r="CZ8" s="11" t="str">
        <f t="shared" ca="1" si="81"/>
        <v>T</v>
      </c>
      <c r="DA8" s="11" t="str">
        <f t="shared" ca="1" si="81"/>
        <v>F</v>
      </c>
      <c r="DB8" s="11" t="str">
        <f t="shared" ca="1" si="81"/>
        <v>S</v>
      </c>
      <c r="DC8" s="12" t="str">
        <f t="shared" ca="1" si="81"/>
        <v>S</v>
      </c>
      <c r="DD8" s="11" t="str">
        <f t="shared" ref="DD8:DJ8" ca="1" si="82">LEFT(TEXT(DD7,"ddd"),1)</f>
        <v>M</v>
      </c>
      <c r="DE8" s="11" t="str">
        <f t="shared" ca="1" si="82"/>
        <v>T</v>
      </c>
      <c r="DF8" s="11" t="str">
        <f t="shared" ca="1" si="82"/>
        <v>W</v>
      </c>
      <c r="DG8" s="11" t="str">
        <f t="shared" ca="1" si="82"/>
        <v>T</v>
      </c>
      <c r="DH8" s="11" t="str">
        <f t="shared" ca="1" si="82"/>
        <v>F</v>
      </c>
      <c r="DI8" s="11" t="str">
        <f t="shared" ca="1" si="82"/>
        <v>S</v>
      </c>
      <c r="DJ8" s="12" t="str">
        <f t="shared" ca="1" si="82"/>
        <v>S</v>
      </c>
      <c r="DK8" s="11" t="str">
        <f t="shared" ref="DK8:FN8" ca="1" si="83">LEFT(TEXT(DK7,"ddd"),1)</f>
        <v>M</v>
      </c>
      <c r="DL8" s="11" t="str">
        <f t="shared" ca="1" si="83"/>
        <v>T</v>
      </c>
      <c r="DM8" s="11" t="str">
        <f t="shared" ca="1" si="83"/>
        <v>W</v>
      </c>
      <c r="DN8" s="11" t="str">
        <f t="shared" ca="1" si="83"/>
        <v>T</v>
      </c>
      <c r="DO8" s="11" t="str">
        <f t="shared" ca="1" si="83"/>
        <v>F</v>
      </c>
      <c r="DP8" s="11" t="str">
        <f t="shared" ca="1" si="83"/>
        <v>S</v>
      </c>
      <c r="DQ8" s="12" t="str">
        <f t="shared" ca="1" si="83"/>
        <v>S</v>
      </c>
      <c r="DR8" s="11" t="str">
        <f t="shared" ca="1" si="83"/>
        <v>M</v>
      </c>
      <c r="DS8" s="11" t="str">
        <f t="shared" ca="1" si="83"/>
        <v>T</v>
      </c>
      <c r="DT8" s="11" t="str">
        <f t="shared" ca="1" si="83"/>
        <v>W</v>
      </c>
      <c r="DU8" s="11" t="str">
        <f t="shared" ca="1" si="83"/>
        <v>T</v>
      </c>
      <c r="DV8" s="11" t="str">
        <f t="shared" ca="1" si="83"/>
        <v>F</v>
      </c>
      <c r="DW8" s="11" t="str">
        <f t="shared" ca="1" si="83"/>
        <v>S</v>
      </c>
      <c r="DX8" s="12" t="str">
        <f t="shared" ca="1" si="83"/>
        <v>S</v>
      </c>
      <c r="DY8" s="11" t="str">
        <f t="shared" ca="1" si="83"/>
        <v>M</v>
      </c>
      <c r="DZ8" s="11" t="str">
        <f t="shared" ca="1" si="83"/>
        <v>T</v>
      </c>
      <c r="EA8" s="11" t="str">
        <f t="shared" ca="1" si="83"/>
        <v>W</v>
      </c>
      <c r="EB8" s="11" t="str">
        <f t="shared" ca="1" si="83"/>
        <v>T</v>
      </c>
      <c r="EC8" s="11" t="str">
        <f t="shared" ca="1" si="83"/>
        <v>F</v>
      </c>
      <c r="ED8" s="11" t="str">
        <f t="shared" ca="1" si="83"/>
        <v>S</v>
      </c>
      <c r="EE8" s="12" t="str">
        <f t="shared" ca="1" si="83"/>
        <v>S</v>
      </c>
      <c r="EF8" s="11" t="str">
        <f t="shared" ca="1" si="83"/>
        <v>M</v>
      </c>
      <c r="EG8" s="11" t="str">
        <f t="shared" ca="1" si="83"/>
        <v>T</v>
      </c>
      <c r="EH8" s="11" t="str">
        <f t="shared" ca="1" si="83"/>
        <v>W</v>
      </c>
      <c r="EI8" s="11" t="str">
        <f t="shared" ca="1" si="83"/>
        <v>T</v>
      </c>
      <c r="EJ8" s="11" t="str">
        <f t="shared" ca="1" si="83"/>
        <v>F</v>
      </c>
      <c r="EK8" s="11" t="str">
        <f t="shared" ca="1" si="83"/>
        <v>S</v>
      </c>
      <c r="EL8" s="12" t="str">
        <f t="shared" ca="1" si="83"/>
        <v>S</v>
      </c>
      <c r="EM8" s="11" t="str">
        <f t="shared" ca="1" si="83"/>
        <v>M</v>
      </c>
      <c r="EN8" s="11" t="str">
        <f t="shared" ca="1" si="83"/>
        <v>T</v>
      </c>
      <c r="EO8" s="11" t="str">
        <f t="shared" ca="1" si="83"/>
        <v>W</v>
      </c>
      <c r="EP8" s="11" t="str">
        <f t="shared" ca="1" si="83"/>
        <v>T</v>
      </c>
      <c r="EQ8" s="11" t="str">
        <f t="shared" ca="1" si="83"/>
        <v>F</v>
      </c>
      <c r="ER8" s="11" t="str">
        <f t="shared" ca="1" si="83"/>
        <v>S</v>
      </c>
      <c r="ES8" s="12" t="str">
        <f t="shared" ca="1" si="83"/>
        <v>S</v>
      </c>
      <c r="ET8" s="11" t="str">
        <f t="shared" ca="1" si="83"/>
        <v>M</v>
      </c>
      <c r="EU8" s="11" t="str">
        <f t="shared" ca="1" si="83"/>
        <v>T</v>
      </c>
      <c r="EV8" s="11" t="str">
        <f t="shared" ca="1" si="83"/>
        <v>W</v>
      </c>
      <c r="EW8" s="11" t="str">
        <f t="shared" ca="1" si="83"/>
        <v>T</v>
      </c>
      <c r="EX8" s="11" t="str">
        <f t="shared" ca="1" si="83"/>
        <v>F</v>
      </c>
      <c r="EY8" s="11" t="str">
        <f t="shared" ca="1" si="83"/>
        <v>S</v>
      </c>
      <c r="EZ8" s="12" t="str">
        <f t="shared" ca="1" si="83"/>
        <v>S</v>
      </c>
      <c r="FA8" s="11" t="str">
        <f t="shared" ca="1" si="83"/>
        <v>M</v>
      </c>
      <c r="FB8" s="11" t="str">
        <f t="shared" ca="1" si="83"/>
        <v>T</v>
      </c>
      <c r="FC8" s="11" t="str">
        <f t="shared" ca="1" si="83"/>
        <v>W</v>
      </c>
      <c r="FD8" s="11" t="str">
        <f t="shared" ca="1" si="83"/>
        <v>T</v>
      </c>
      <c r="FE8" s="11" t="str">
        <f t="shared" ca="1" si="83"/>
        <v>F</v>
      </c>
      <c r="FF8" s="11" t="str">
        <f t="shared" ca="1" si="83"/>
        <v>S</v>
      </c>
      <c r="FG8" s="12" t="str">
        <f t="shared" ca="1" si="83"/>
        <v>S</v>
      </c>
      <c r="FH8" s="11" t="str">
        <f t="shared" ca="1" si="83"/>
        <v>M</v>
      </c>
      <c r="FI8" s="11" t="str">
        <f t="shared" ca="1" si="83"/>
        <v>T</v>
      </c>
      <c r="FJ8" s="11" t="str">
        <f t="shared" ca="1" si="83"/>
        <v>W</v>
      </c>
      <c r="FK8" s="11" t="str">
        <f t="shared" ca="1" si="83"/>
        <v>T</v>
      </c>
      <c r="FL8" s="11" t="str">
        <f t="shared" ca="1" si="83"/>
        <v>F</v>
      </c>
      <c r="FM8" s="11" t="str">
        <f t="shared" ca="1" si="83"/>
        <v>S</v>
      </c>
      <c r="FN8" s="12" t="str">
        <f t="shared" ca="1" si="83"/>
        <v>S</v>
      </c>
    </row>
    <row r="9" spans="1:170" ht="30" hidden="1" customHeight="1" thickBot="1" x14ac:dyDescent="0.25">
      <c r="A9" s="16" t="s">
        <v>11</v>
      </c>
      <c r="B9" s="23"/>
      <c r="C9" s="24"/>
      <c r="D9" s="24"/>
      <c r="E9" s="23"/>
      <c r="F9" s="23"/>
      <c r="G9" s="23"/>
      <c r="I9" s="15" t="str">
        <f>IF(OR(ISBLANK(task_start),ISBLANK(task_end)),"",task_end-task_start+1)</f>
        <v/>
      </c>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5"/>
      <c r="EI9" s="25"/>
      <c r="EJ9" s="25"/>
      <c r="EK9" s="25"/>
      <c r="EL9" s="25"/>
      <c r="EM9" s="25"/>
      <c r="EN9" s="25"/>
      <c r="EO9" s="25"/>
      <c r="EP9" s="25"/>
      <c r="EQ9" s="25"/>
      <c r="ER9" s="25"/>
      <c r="ES9" s="25"/>
      <c r="ET9" s="25"/>
      <c r="EU9" s="25"/>
      <c r="EV9" s="25"/>
      <c r="EW9" s="25"/>
      <c r="EX9" s="25"/>
      <c r="EY9" s="25"/>
      <c r="EZ9" s="25"/>
      <c r="FA9" s="25"/>
      <c r="FB9" s="25"/>
      <c r="FC9" s="25"/>
      <c r="FD9" s="25"/>
      <c r="FE9" s="25"/>
      <c r="FF9" s="25"/>
      <c r="FG9" s="25"/>
      <c r="FH9" s="25"/>
      <c r="FI9" s="25"/>
      <c r="FJ9" s="25"/>
      <c r="FK9" s="25"/>
      <c r="FL9" s="25"/>
      <c r="FM9" s="25"/>
      <c r="FN9" s="25"/>
    </row>
    <row r="10" spans="1:170" s="28" customFormat="1" ht="30" customHeight="1" thickBot="1" x14ac:dyDescent="0.25">
      <c r="A10" s="13"/>
      <c r="B10" s="26" t="s">
        <v>14</v>
      </c>
      <c r="C10" s="44"/>
      <c r="D10" s="44"/>
      <c r="E10" s="45">
        <v>0</v>
      </c>
      <c r="F10" s="46">
        <v>45825</v>
      </c>
      <c r="G10" s="47">
        <v>45838</v>
      </c>
      <c r="H10" s="2"/>
      <c r="I10" s="1">
        <f t="shared" ref="I10:I15" si="84">IF(OR(ISBLANK(task_start),ISBLANK(task_end)),"",task_end-task_start+1)</f>
        <v>14</v>
      </c>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c r="EQ10" s="27"/>
      <c r="ER10" s="27"/>
      <c r="ES10" s="27"/>
      <c r="ET10" s="27"/>
      <c r="EU10" s="27"/>
      <c r="EV10" s="27"/>
      <c r="EW10" s="27"/>
      <c r="EX10" s="27"/>
      <c r="EY10" s="27"/>
      <c r="EZ10" s="27"/>
      <c r="FA10" s="27"/>
      <c r="FB10" s="27"/>
      <c r="FC10" s="27"/>
      <c r="FD10" s="27"/>
      <c r="FE10" s="27"/>
      <c r="FF10" s="27"/>
      <c r="FG10" s="27"/>
      <c r="FH10" s="27"/>
      <c r="FI10" s="27"/>
      <c r="FJ10" s="27"/>
      <c r="FK10" s="27"/>
      <c r="FL10" s="27"/>
      <c r="FM10" s="27"/>
      <c r="FN10" s="27"/>
    </row>
    <row r="11" spans="1:170" s="28" customFormat="1" ht="30" customHeight="1" thickBot="1" x14ac:dyDescent="0.25">
      <c r="A11" s="13"/>
      <c r="B11" s="31" t="s">
        <v>15</v>
      </c>
      <c r="C11" s="37" t="s">
        <v>13</v>
      </c>
      <c r="D11" s="37"/>
      <c r="E11" s="38">
        <v>0</v>
      </c>
      <c r="F11" s="39">
        <v>45825</v>
      </c>
      <c r="G11" s="39">
        <v>45838</v>
      </c>
      <c r="H11" s="2"/>
      <c r="I11" s="1">
        <f t="shared" si="84"/>
        <v>14</v>
      </c>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c r="CF11" s="29"/>
      <c r="CG11" s="29"/>
      <c r="CH11" s="29"/>
      <c r="CI11" s="29"/>
      <c r="CJ11" s="29"/>
      <c r="CK11" s="29"/>
      <c r="CL11" s="29"/>
      <c r="CM11" s="29"/>
      <c r="CN11" s="29"/>
      <c r="CO11" s="29"/>
      <c r="CP11" s="29"/>
      <c r="CQ11" s="29"/>
      <c r="CR11" s="29"/>
      <c r="CS11" s="29"/>
      <c r="CT11" s="29"/>
      <c r="CU11" s="29"/>
      <c r="CV11" s="29"/>
      <c r="CW11" s="29"/>
      <c r="CX11" s="29"/>
      <c r="CY11" s="29"/>
      <c r="CZ11" s="29"/>
      <c r="DA11" s="29"/>
      <c r="DB11" s="29"/>
      <c r="DC11" s="29"/>
      <c r="DD11" s="29"/>
      <c r="DE11" s="29"/>
      <c r="DF11" s="29"/>
      <c r="DG11" s="29"/>
      <c r="DH11" s="29"/>
      <c r="DI11" s="29"/>
      <c r="DJ11" s="29"/>
      <c r="DK11" s="29"/>
      <c r="DL11" s="29"/>
      <c r="DM11" s="29"/>
      <c r="DN11" s="29"/>
      <c r="DO11" s="29"/>
      <c r="DP11" s="29"/>
      <c r="DQ11" s="29"/>
      <c r="DR11" s="29"/>
      <c r="DS11" s="29"/>
      <c r="DT11" s="29"/>
      <c r="DU11" s="29"/>
      <c r="DV11" s="29"/>
      <c r="DW11" s="29"/>
      <c r="DX11" s="29"/>
      <c r="DY11" s="29"/>
      <c r="DZ11" s="29"/>
      <c r="EA11" s="29"/>
      <c r="EB11" s="29"/>
      <c r="EC11" s="29"/>
      <c r="ED11" s="29"/>
      <c r="EE11" s="29"/>
      <c r="EF11" s="29"/>
      <c r="EG11" s="29"/>
      <c r="EH11" s="29"/>
      <c r="EI11" s="29"/>
      <c r="EJ11" s="29"/>
      <c r="EK11" s="29"/>
      <c r="EL11" s="29"/>
      <c r="EM11" s="29"/>
      <c r="EN11" s="29"/>
      <c r="EO11" s="29"/>
      <c r="EP11" s="29"/>
      <c r="EQ11" s="29"/>
      <c r="ER11" s="29"/>
      <c r="ES11" s="29"/>
      <c r="ET11" s="29"/>
      <c r="EU11" s="29"/>
      <c r="EV11" s="29"/>
      <c r="EW11" s="29"/>
      <c r="EX11" s="29"/>
      <c r="EY11" s="29"/>
      <c r="EZ11" s="29"/>
      <c r="FA11" s="29"/>
      <c r="FB11" s="29"/>
      <c r="FC11" s="29"/>
      <c r="FD11" s="29"/>
      <c r="FE11" s="29"/>
      <c r="FF11" s="29"/>
      <c r="FG11" s="29"/>
      <c r="FH11" s="29"/>
      <c r="FI11" s="29"/>
      <c r="FJ11" s="29"/>
      <c r="FK11" s="29"/>
      <c r="FL11" s="29"/>
      <c r="FM11" s="29"/>
      <c r="FN11" s="29"/>
    </row>
    <row r="12" spans="1:170" s="28" customFormat="1" ht="30" customHeight="1" thickBot="1" x14ac:dyDescent="0.25">
      <c r="A12" s="13"/>
      <c r="B12" s="40"/>
      <c r="C12" s="41"/>
      <c r="D12" s="41"/>
      <c r="E12" s="42"/>
      <c r="F12" s="43"/>
      <c r="G12" s="43"/>
      <c r="H12" s="2"/>
      <c r="I12" s="1" t="str">
        <f t="shared" si="84"/>
        <v/>
      </c>
      <c r="J12" s="29"/>
      <c r="K12" s="29"/>
      <c r="L12" s="29"/>
      <c r="M12" s="29"/>
      <c r="N12" s="29"/>
      <c r="O12" s="29"/>
      <c r="P12" s="29"/>
      <c r="Q12" s="29"/>
      <c r="R12" s="29"/>
      <c r="S12" s="29"/>
      <c r="T12" s="29"/>
      <c r="U12" s="29"/>
      <c r="V12" s="30"/>
      <c r="W12" s="30"/>
      <c r="X12" s="29"/>
      <c r="Y12" s="29"/>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c r="BM12" s="29"/>
      <c r="BN12" s="29"/>
      <c r="BO12" s="29"/>
      <c r="BP12" s="29"/>
      <c r="BQ12" s="29"/>
      <c r="BR12" s="29"/>
      <c r="BS12" s="29"/>
      <c r="BT12" s="29"/>
      <c r="BU12" s="29"/>
      <c r="BV12" s="29"/>
      <c r="BW12" s="29"/>
      <c r="BX12" s="29"/>
      <c r="BY12" s="29"/>
      <c r="BZ12" s="29"/>
      <c r="CA12" s="29"/>
      <c r="CB12" s="29"/>
      <c r="CC12" s="29"/>
      <c r="CD12" s="29"/>
      <c r="CE12" s="29"/>
      <c r="CF12" s="29"/>
      <c r="CG12" s="29"/>
      <c r="CH12" s="29"/>
      <c r="CI12" s="29"/>
      <c r="CJ12" s="29"/>
      <c r="CK12" s="29"/>
      <c r="CL12" s="29"/>
      <c r="CM12" s="29"/>
      <c r="CN12" s="29"/>
      <c r="CO12" s="29"/>
      <c r="CP12" s="29"/>
      <c r="CQ12" s="29"/>
      <c r="CR12" s="29"/>
      <c r="CS12" s="29"/>
      <c r="CT12" s="29"/>
      <c r="CU12" s="29"/>
      <c r="CV12" s="29"/>
      <c r="CW12" s="29"/>
      <c r="CX12" s="29"/>
      <c r="CY12" s="29"/>
      <c r="CZ12" s="29"/>
      <c r="DA12" s="29"/>
      <c r="DB12" s="29"/>
      <c r="DC12" s="29"/>
      <c r="DD12" s="29"/>
      <c r="DE12" s="29"/>
      <c r="DF12" s="29"/>
      <c r="DG12" s="29"/>
      <c r="DH12" s="29"/>
      <c r="DI12" s="29"/>
      <c r="DJ12" s="29"/>
      <c r="DK12" s="29"/>
      <c r="DL12" s="29"/>
      <c r="DM12" s="29"/>
      <c r="DN12" s="29"/>
      <c r="DO12" s="29"/>
      <c r="DP12" s="29"/>
      <c r="DQ12" s="29"/>
      <c r="DR12" s="29"/>
      <c r="DS12" s="29"/>
      <c r="DT12" s="29"/>
      <c r="DU12" s="29"/>
      <c r="DV12" s="29"/>
      <c r="DW12" s="29"/>
      <c r="DX12" s="29"/>
      <c r="DY12" s="29"/>
      <c r="DZ12" s="29"/>
      <c r="EA12" s="29"/>
      <c r="EB12" s="29"/>
      <c r="EC12" s="29"/>
      <c r="ED12" s="29"/>
      <c r="EE12" s="29"/>
      <c r="EF12" s="29"/>
      <c r="EG12" s="29"/>
      <c r="EH12" s="29"/>
      <c r="EI12" s="29"/>
      <c r="EJ12" s="29"/>
      <c r="EK12" s="29"/>
      <c r="EL12" s="29"/>
      <c r="EM12" s="29"/>
      <c r="EN12" s="29"/>
      <c r="EO12" s="29"/>
      <c r="EP12" s="29"/>
      <c r="EQ12" s="29"/>
      <c r="ER12" s="29"/>
      <c r="ES12" s="29"/>
      <c r="ET12" s="29"/>
      <c r="EU12" s="29"/>
      <c r="EV12" s="29"/>
      <c r="EW12" s="29"/>
      <c r="EX12" s="29"/>
      <c r="EY12" s="29"/>
      <c r="EZ12" s="29"/>
      <c r="FA12" s="29"/>
      <c r="FB12" s="29"/>
      <c r="FC12" s="29"/>
      <c r="FD12" s="29"/>
      <c r="FE12" s="29"/>
      <c r="FF12" s="29"/>
      <c r="FG12" s="29"/>
      <c r="FH12" s="29"/>
      <c r="FI12" s="29"/>
      <c r="FJ12" s="29"/>
      <c r="FK12" s="29"/>
      <c r="FL12" s="29"/>
      <c r="FM12" s="29"/>
      <c r="FN12" s="29"/>
    </row>
    <row r="13" spans="1:170" s="28" customFormat="1" ht="30" customHeight="1" thickBot="1" x14ac:dyDescent="0.25">
      <c r="A13" s="16"/>
      <c r="B13" s="40"/>
      <c r="C13" s="41"/>
      <c r="D13" s="41"/>
      <c r="E13" s="42"/>
      <c r="F13" s="43"/>
      <c r="G13" s="43"/>
      <c r="H13" s="2"/>
      <c r="I13" s="1" t="str">
        <f t="shared" si="84"/>
        <v/>
      </c>
      <c r="J13" s="29"/>
      <c r="K13" s="29"/>
      <c r="L13" s="29"/>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row>
    <row r="14" spans="1:170" s="28" customFormat="1" ht="30" customHeight="1" thickBot="1" x14ac:dyDescent="0.25">
      <c r="A14" s="16"/>
      <c r="B14" s="40"/>
      <c r="C14" s="41"/>
      <c r="D14" s="41"/>
      <c r="E14" s="42"/>
      <c r="F14" s="43"/>
      <c r="G14" s="43"/>
      <c r="H14" s="2"/>
      <c r="I14" s="1"/>
      <c r="J14" s="29"/>
      <c r="K14" s="29"/>
      <c r="L14" s="29"/>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row>
    <row r="15" spans="1:170" s="28" customFormat="1" ht="30" customHeight="1" thickBot="1" x14ac:dyDescent="0.25">
      <c r="A15" s="16"/>
      <c r="B15" s="40"/>
      <c r="C15" s="41"/>
      <c r="D15" s="41"/>
      <c r="E15" s="42"/>
      <c r="F15" s="43"/>
      <c r="G15" s="43"/>
      <c r="H15" s="2"/>
      <c r="I15" s="1" t="str">
        <f t="shared" si="84"/>
        <v/>
      </c>
      <c r="J15" s="29"/>
      <c r="K15" s="29"/>
      <c r="L15" s="29"/>
      <c r="M15" s="29"/>
      <c r="N15" s="29"/>
      <c r="O15" s="29"/>
      <c r="P15" s="29"/>
      <c r="Q15" s="29"/>
      <c r="R15" s="29"/>
      <c r="S15" s="29"/>
      <c r="T15" s="29"/>
      <c r="U15" s="29"/>
      <c r="V15" s="29"/>
      <c r="W15" s="29"/>
      <c r="X15" s="29"/>
      <c r="Y15" s="29"/>
      <c r="Z15" s="30"/>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row>
  </sheetData>
  <mergeCells count="35">
    <mergeCell ref="CI5:CO5"/>
    <mergeCell ref="CP5:CV5"/>
    <mergeCell ref="CW5:DC5"/>
    <mergeCell ref="DD5:DJ5"/>
    <mergeCell ref="BN5:BT5"/>
    <mergeCell ref="BU5:CA5"/>
    <mergeCell ref="CB5:CH5"/>
    <mergeCell ref="BG5:BM5"/>
    <mergeCell ref="J5:P5"/>
    <mergeCell ref="Q5:W5"/>
    <mergeCell ref="X5:AD5"/>
    <mergeCell ref="AE5:AK5"/>
    <mergeCell ref="AL5:AR5"/>
    <mergeCell ref="AS5:AY5"/>
    <mergeCell ref="AZ5:BF5"/>
    <mergeCell ref="G7:G8"/>
    <mergeCell ref="R2:AA2"/>
    <mergeCell ref="R1:AA1"/>
    <mergeCell ref="J1:P1"/>
    <mergeCell ref="J2:P2"/>
    <mergeCell ref="B2:G3"/>
    <mergeCell ref="A7:A8"/>
    <mergeCell ref="B7:B8"/>
    <mergeCell ref="C7:C8"/>
    <mergeCell ref="E7:E8"/>
    <mergeCell ref="F7:F8"/>
    <mergeCell ref="D7:D8"/>
    <mergeCell ref="ET5:EZ5"/>
    <mergeCell ref="FA5:FG5"/>
    <mergeCell ref="FH5:FN5"/>
    <mergeCell ref="DK5:DQ5"/>
    <mergeCell ref="DR5:DX5"/>
    <mergeCell ref="DY5:EE5"/>
    <mergeCell ref="EF5:EL5"/>
    <mergeCell ref="EM5:ES5"/>
  </mergeCells>
  <conditionalFormatting sqref="E9:E10">
    <cfRule type="dataBar" priority="118">
      <dataBar>
        <cfvo type="num" val="0"/>
        <cfvo type="num" val="1"/>
        <color theme="0"/>
      </dataBar>
      <extLst>
        <ext xmlns:x14="http://schemas.microsoft.com/office/spreadsheetml/2009/9/main" uri="{B025F937-C7B1-47D3-B67F-A62EFF666E3E}">
          <x14:id>{B0389232-4C98-4A03-AD0E-39F63BAD1F53}</x14:id>
        </ext>
      </extLst>
    </cfRule>
  </conditionalFormatting>
  <conditionalFormatting sqref="J5:FN15">
    <cfRule type="expression" dxfId="18" priority="90">
      <formula>AND(TODAY()&gt;=J$7, TODAY()&lt;K$7)</formula>
    </cfRule>
  </conditionalFormatting>
  <conditionalFormatting sqref="J11:DJ15">
    <cfRule type="expression" dxfId="17" priority="101">
      <formula>AND(task_start&lt;=J$7,ROUNDDOWN((task_end-task_start+1)*task_progress,0)+task_start-1&gt;=J$7)</formula>
    </cfRule>
    <cfRule type="expression" dxfId="16" priority="102" stopIfTrue="1">
      <formula>AND(task_end&gt;=J$7,task_start&lt;K$7)</formula>
    </cfRule>
  </conditionalFormatting>
  <conditionalFormatting sqref="DK11:DQ15">
    <cfRule type="expression" dxfId="15" priority="86">
      <formula>AND(task_start&lt;=DK$7,ROUNDDOWN((task_end-task_start+1)*task_progress,0)+task_start-1&gt;=DK$7)</formula>
    </cfRule>
    <cfRule type="expression" dxfId="14" priority="87" stopIfTrue="1">
      <formula>AND(task_end&gt;=DK$7,task_start&lt;DL$7)</formula>
    </cfRule>
  </conditionalFormatting>
  <conditionalFormatting sqref="DR11:DX15">
    <cfRule type="expression" dxfId="13" priority="75">
      <formula>AND(task_start&lt;=DR$7,ROUNDDOWN((task_end-task_start+1)*task_progress,0)+task_start-1&gt;=DR$7)</formula>
    </cfRule>
    <cfRule type="expression" dxfId="12" priority="76" stopIfTrue="1">
      <formula>AND(task_end&gt;=DR$7,task_start&lt;DS$7)</formula>
    </cfRule>
  </conditionalFormatting>
  <conditionalFormatting sqref="DY11:EE15">
    <cfRule type="expression" dxfId="11" priority="64">
      <formula>AND(task_start&lt;=DY$7,ROUNDDOWN((task_end-task_start+1)*task_progress,0)+task_start-1&gt;=DY$7)</formula>
    </cfRule>
    <cfRule type="expression" dxfId="10" priority="65" stopIfTrue="1">
      <formula>AND(task_end&gt;=DY$7,task_start&lt;DZ$7)</formula>
    </cfRule>
  </conditionalFormatting>
  <conditionalFormatting sqref="EF11:EL15">
    <cfRule type="expression" dxfId="9" priority="53">
      <formula>AND(task_start&lt;=EF$7,ROUNDDOWN((task_end-task_start+1)*task_progress,0)+task_start-1&gt;=EF$7)</formula>
    </cfRule>
    <cfRule type="expression" dxfId="8" priority="54" stopIfTrue="1">
      <formula>AND(task_end&gt;=EF$7,task_start&lt;EG$7)</formula>
    </cfRule>
  </conditionalFormatting>
  <conditionalFormatting sqref="EM11:ES15">
    <cfRule type="expression" dxfId="7" priority="42">
      <formula>AND(task_start&lt;=EM$7,ROUNDDOWN((task_end-task_start+1)*task_progress,0)+task_start-1&gt;=EM$7)</formula>
    </cfRule>
    <cfRule type="expression" dxfId="6" priority="43" stopIfTrue="1">
      <formula>AND(task_end&gt;=EM$7,task_start&lt;EN$7)</formula>
    </cfRule>
  </conditionalFormatting>
  <conditionalFormatting sqref="ET11:EZ15">
    <cfRule type="expression" dxfId="5" priority="31">
      <formula>AND(task_start&lt;=ET$7,ROUNDDOWN((task_end-task_start+1)*task_progress,0)+task_start-1&gt;=ET$7)</formula>
    </cfRule>
    <cfRule type="expression" dxfId="4" priority="32" stopIfTrue="1">
      <formula>AND(task_end&gt;=ET$7,task_start&lt;EU$7)</formula>
    </cfRule>
  </conditionalFormatting>
  <conditionalFormatting sqref="FA11:FG15">
    <cfRule type="expression" dxfId="3" priority="20">
      <formula>AND(task_start&lt;=FA$7,ROUNDDOWN((task_end-task_start+1)*task_progress,0)+task_start-1&gt;=FA$7)</formula>
    </cfRule>
    <cfRule type="expression" dxfId="2" priority="21" stopIfTrue="1">
      <formula>AND(task_end&gt;=FA$7,task_start&lt;FB$7)</formula>
    </cfRule>
  </conditionalFormatting>
  <conditionalFormatting sqref="FH11:FN15">
    <cfRule type="expression" dxfId="1" priority="9">
      <formula>AND(task_start&lt;=FH$7,ROUNDDOWN((task_end-task_start+1)*task_progress,0)+task_start-1&gt;=FH$7)</formula>
    </cfRule>
    <cfRule type="expression" dxfId="0" priority="10" stopIfTrue="1">
      <formula>AND(task_end&gt;=FH$7,task_start&lt;FI$7)</formula>
    </cfRule>
  </conditionalFormatting>
  <conditionalFormatting sqref="E11:E15">
    <cfRule type="dataBar" priority="1">
      <dataBar>
        <cfvo type="num" val="0"/>
        <cfvo type="num" val="1"/>
        <color theme="0"/>
      </dataBar>
      <extLst>
        <ext xmlns:x14="http://schemas.microsoft.com/office/spreadsheetml/2009/9/main" uri="{B025F937-C7B1-47D3-B67F-A62EFF666E3E}">
          <x14:id>{D8E932CC-28FF-4B96-90B2-728FF205F258}</x14:id>
        </ext>
      </extLst>
    </cfRule>
  </conditionalFormatting>
  <dataValidations count="9">
    <dataValidation type="whole" operator="greaterThanOrEqual" allowBlank="1" showInputMessage="1" promptTitle="Display Week" prompt="Changing this number will scroll the Gantt Chart view." sqref="R2:R3" xr:uid="{00000000-0002-0000-0000-000000000000}">
      <formula1>1</formula1>
    </dataValidation>
    <dataValidation allowBlank="1" showInputMessage="1" showErrorMessage="1" prompt="Create a Project Schedule in this worksheet._x000a_Enter title of this project in cell B1. _x000a_Information on how to use this worksheet, including instructions for screen readers and the author of this workbook, is in the About worksheet._x000a_" sqref="A1" xr:uid="{D005F8F4-EA16-4627-8A05-1997BE425B88}"/>
    <dataValidation allowBlank="1" showInputMessage="1" showErrorMessage="1" prompt="Enter Company name in cel B2." sqref="A2:A3" xr:uid="{75F274B0-5B30-4CC0-A53C-C012C0845179}"/>
    <dataValidation allowBlank="1" showInputMessage="1" showErrorMessage="1" prompt="Enter the name of the Project Lead in cell C3. Enter the Project Start date in cell Q1. Project Start: label is in cell I1." sqref="A4" xr:uid="{EEA7C783-457F-401F-98B9-9035587B9210}"/>
    <dataValidation allowBlank="1" showInputMessage="1" showErrorMessage="1" prompt="The Display week in cell Q2 is the starting week to display in the project schedule in cell I4. The project start date is Week 1. To change the display week, enter a new week number in cell Q2._x000a__x000a_Start date for each week is auto calculated starting in I4." sqref="A5:A6" xr:uid="{43382715-6BC7-4B19-A31B-4B13A11ED166}"/>
    <dataValidation allowBlank="1" showInputMessage="1" showErrorMessage="1" prompt="Cells I5 through BL5 contain the day number for the week represented in the cell block above each date and are auto calculated._x000a__x000a_Today's date is outlined from today's date in row 5 through the entire date column to the end of the project schedule." sqref="A7:A8" xr:uid="{7A3789A6-A3FB-43B6-A4F7-8C0AC564F67E}"/>
    <dataValidation allowBlank="1" showInputMessage="1" showErrorMessage="1" prompt="Cell B8 contains the Phase 1 sample title. Enter a new title in cell B8._x000a_To delete the phase and work only from tasks, simply delete this row." sqref="A10" xr:uid="{CEC78982-AFA8-419E-B0A2-676B709E5100}"/>
    <dataValidation allowBlank="1" showInputMessage="1" showErrorMessage="1" prompt="B9 contains the task name.  C9 is the assignee.  D9 is a progress bar that shades based on the number entered into the cell.  _x000a__x000a_E9 contains the start date and F9 contains the end date._x000a__x000a_The Gantt chart will fill in starting in cell I9 based on task dates." sqref="A11" xr:uid="{D870A2F6-6B07-4F5A-A81D-4BCCFADF8796}"/>
    <dataValidation allowBlank="1" showInputMessage="1" showErrorMessage="1" prompt="Rows 10 through 13 repeat the pattern from row 9. _x000a__x000a_Repeat the instructions from cell A9 for all task rows in this worksheet. _x000a__x000a_Continue entering tasks in cells A10 through A13 or go to cell A14 to learn more." sqref="A12" xr:uid="{872449A7-C3CC-45B6-BA90-B1AAD66BA0E5}"/>
  </dataValidations>
  <hyperlinks>
    <hyperlink ref="B11" r:id="rId1" display="Company/Company.xlsm" xr:uid="{4F191A65-26A8-494F-B73D-34DAA8DEB7C5}"/>
  </hyperlinks>
  <printOptions horizontalCentered="1"/>
  <pageMargins left="0.35" right="0.35" top="0.35" bottom="0.5" header="0.3" footer="0.3"/>
  <pageSetup scale="57" fitToHeight="0" orientation="landscape" r:id="rId2"/>
  <headerFooter differentFirst="1" scaleWithDoc="0">
    <oddFooter>Page &amp;P of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DataInput">
                <anchor moveWithCells="1" sizeWithCells="1">
                  <from>
                    <xdr:col>9</xdr:col>
                    <xdr:colOff>47625</xdr:colOff>
                    <xdr:row>2</xdr:row>
                    <xdr:rowOff>47625</xdr:rowOff>
                  </from>
                  <to>
                    <xdr:col>20</xdr:col>
                    <xdr:colOff>47625</xdr:colOff>
                    <xdr:row>3</xdr:row>
                    <xdr:rowOff>180975</xdr:rowOff>
                  </to>
                </anchor>
              </controlPr>
            </control>
          </mc:Choice>
        </mc:AlternateContent>
        <mc:AlternateContent xmlns:mc="http://schemas.openxmlformats.org/markup-compatibility/2006">
          <mc:Choice Requires="x14">
            <control shapeId="1028" r:id="rId6" name="Button 4">
              <controlPr defaultSize="0" print="0" autoFill="0" autoPict="0" macro="[0]!SendEmail">
                <anchor moveWithCells="1" sizeWithCells="1">
                  <from>
                    <xdr:col>22</xdr:col>
                    <xdr:colOff>200025</xdr:colOff>
                    <xdr:row>2</xdr:row>
                    <xdr:rowOff>19050</xdr:rowOff>
                  </from>
                  <to>
                    <xdr:col>33</xdr:col>
                    <xdr:colOff>200025</xdr:colOff>
                    <xdr:row>3</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E9:E10</xm:sqref>
        </x14:conditionalFormatting>
        <x14:conditionalFormatting xmlns:xm="http://schemas.microsoft.com/office/excel/2006/main">
          <x14:cfRule type="dataBar" id="{D8E932CC-28FF-4B96-90B2-728FF205F258}">
            <x14:dataBar minLength="0" maxLength="100" gradient="0">
              <x14:cfvo type="num">
                <xm:f>0</xm:f>
              </x14:cfvo>
              <x14:cfvo type="num">
                <xm:f>1</xm:f>
              </x14:cfvo>
              <x14:negativeFillColor rgb="FFFF0000"/>
              <x14:axisColor rgb="FF000000"/>
            </x14:dataBar>
          </x14:cfRule>
          <xm:sqref>E11:E15</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8" ma:contentTypeDescription="Create a new document." ma:contentTypeScope="" ma:versionID="60f5a4f2d2b0abadcf532d48ebf9cb71">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7dd78129e6a1811f84807ad11c65153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element ref="ns2:MediaServiceObjectDetectorVersions" minOccurs="0"/>
                <xsd:element ref="ns2:MediaServiceSystem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element name="MediaServiceObjectDetectorVersions" ma:index="31" nillable="true" ma:displayName="MediaServiceObjectDetectorVersions" ma:description="" ma:hidden="true" ma:indexed="true" ma:internalName="MediaServiceObjectDetectorVersions" ma:readOnly="true">
      <xsd:simpleType>
        <xsd:restriction base="dms:Text"/>
      </xsd:simpleType>
    </xsd:element>
    <xsd:element name="MediaServiceSystemTags" ma:index="32" nillable="true" ma:displayName="MediaServiceSystemTags" ma:hidden="true" ma:internalName="MediaServiceSystem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9426A3-87E9-4865-8A6C-3456B026AE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82239A0-E68C-493F-BEE6-C77FEA397FD6}">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3.xml><?xml version="1.0" encoding="utf-8"?>
<ds:datastoreItem xmlns:ds="http://schemas.openxmlformats.org/officeDocument/2006/customXml" ds:itemID="{97245281-08F3-4104-84BD-39F3D8CFB195}">
  <ds:schemaRefs>
    <ds:schemaRef ds:uri="http://schemas.microsoft.com/sharepoint/v3/contenttype/forms"/>
  </ds:schemaRefs>
</ds:datastoreItem>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Template>TM16400962</Template>
  <Application>Microsoft Excel</Application>
  <DocSecurity>0</DocSecurity>
  <ScaleCrop>false</ScaleCrop>
  <HeadingPairs>
    <vt:vector size="4" baseType="variant">
      <vt:variant>
        <vt:lpstr>Worksheets</vt:lpstr>
      </vt:variant>
      <vt:variant>
        <vt:i4>1</vt:i4>
      </vt:variant>
      <vt:variant>
        <vt:lpstr>Named Ranges</vt:lpstr>
      </vt:variant>
      <vt:variant>
        <vt:i4>7</vt:i4>
      </vt:variant>
    </vt:vector>
  </HeadingPairs>
  <TitlesOfParts>
    <vt:vector size="8" baseType="lpstr">
      <vt:lpstr>Gantt Chart Main</vt:lpstr>
      <vt:lpstr>BaseRange</vt:lpstr>
      <vt:lpstr>Display_Week</vt:lpstr>
      <vt:lpstr>'Gantt Chart Main'!Print_Titles</vt:lpstr>
      <vt:lpstr>Project_Start</vt:lpstr>
      <vt:lpstr>'Gantt Chart Main'!task_end</vt:lpstr>
      <vt:lpstr>'Gantt Chart Main'!task_progress</vt:lpstr>
      <vt:lpstr>'Gantt Chart Main'!task_start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Sangeet Mahindra</dc:creator>
  <cp:keywords/>
  <dc:description/>
  <cp:lastModifiedBy>Admin_AdamChilal</cp:lastModifiedBy>
  <cp:revision/>
  <dcterms:created xsi:type="dcterms:W3CDTF">2022-03-11T22:41:12Z</dcterms:created>
  <dcterms:modified xsi:type="dcterms:W3CDTF">2025-06-17T19:36:08Z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y fmtid="{D5CDD505-2E9C-101B-9397-08002B2CF9AE}" pid="3" name="MediaServiceImageTags">
    <vt:lpwstr/>
  </property>
</Properties>
</file>